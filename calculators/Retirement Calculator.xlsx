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2.xml" ContentType="application/vnd.openxmlformats-officedocument.spreadsheetml.comments+xml"/>
  <Override PartName="/xl/charts/chart2.xml" ContentType="application/vnd.openxmlformats-officedocument.drawingml.chart+xml"/>
  <Override PartName="/xl/drawings/drawing5.xml" ContentType="application/vnd.openxmlformats-officedocument.drawing+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codeName="ThisWorkbook"/>
  <mc:AlternateContent xmlns:mc="http://schemas.openxmlformats.org/markup-compatibility/2006">
    <mc:Choice Requires="x15">
      <x15ac:absPath xmlns:x15ac="http://schemas.microsoft.com/office/spreadsheetml/2010/11/ac" url="D:\Zeed\Zeed\"/>
    </mc:Choice>
  </mc:AlternateContent>
  <xr:revisionPtr revIDLastSave="0" documentId="13_ncr:1_{AE2E83A6-3A2A-4993-9B1B-70E0CA72096B}" xr6:coauthVersionLast="47" xr6:coauthVersionMax="47" xr10:uidLastSave="{00000000-0000-0000-0000-000000000000}"/>
  <bookViews>
    <workbookView minimized="1" xWindow="0" yWindow="380" windowWidth="19200" windowHeight="10200" xr2:uid="{00000000-000D-0000-FFFF-FFFF00000000}"/>
  </bookViews>
  <sheets>
    <sheet name="Retirement" sheetId="1" r:id="rId1"/>
    <sheet name="Help" sheetId="7" r:id="rId2"/>
    <sheet name="©" sheetId="8" r:id="rId3"/>
    <sheet name="Retirement Plan" sheetId="9" r:id="rId4"/>
    <sheet name="Net-worth Allocation" sheetId="10" r:id="rId5"/>
    <sheet name="Equity Portfolio" sheetId="11" r:id="rId6"/>
  </sheets>
  <definedNames>
    <definedName name="_xlnm.Print_Area" localSheetId="0">Retirement!$A$1:$K$205</definedName>
    <definedName name="_xlnm.Print_Area" localSheetId="3">'Retirement Plan'!$A$1:$K$205</definedName>
    <definedName name="_xlnm.Print_Titles" localSheetId="0">Retirement!$47:$47</definedName>
    <definedName name="_xlnm.Print_Titles" localSheetId="3">'Retirement Plan'!$47:$47</definedName>
    <definedName name="solver_adj" localSheetId="0" hidden="1">Retirement!$E$15,Retirement!#REF!,Retirement!$K$13</definedName>
    <definedName name="solver_adj" localSheetId="3" hidden="1">'Retirement Plan'!$E$14,'Retirement Plan'!#REF!,'Retirement Plan'!$K$13</definedName>
    <definedName name="solver_cvg" localSheetId="0" hidden="1">0.0001</definedName>
    <definedName name="solver_cvg" localSheetId="3" hidden="1">0.0001</definedName>
    <definedName name="solver_drv" localSheetId="0" hidden="1">1</definedName>
    <definedName name="solver_drv" localSheetId="3" hidden="1">1</definedName>
    <definedName name="solver_est" localSheetId="0" hidden="1">1</definedName>
    <definedName name="solver_est" localSheetId="3" hidden="1">1</definedName>
    <definedName name="solver_itr" localSheetId="0" hidden="1">100</definedName>
    <definedName name="solver_itr" localSheetId="3" hidden="1">100</definedName>
    <definedName name="solver_lin" localSheetId="0" hidden="1">2</definedName>
    <definedName name="solver_lin" localSheetId="3" hidden="1">2</definedName>
    <definedName name="solver_neg" localSheetId="0" hidden="1">2</definedName>
    <definedName name="solver_neg" localSheetId="3" hidden="1">2</definedName>
    <definedName name="solver_num" localSheetId="0" hidden="1">0</definedName>
    <definedName name="solver_num" localSheetId="3" hidden="1">0</definedName>
    <definedName name="solver_nwt" localSheetId="0" hidden="1">1</definedName>
    <definedName name="solver_nwt" localSheetId="3" hidden="1">1</definedName>
    <definedName name="solver_opt" localSheetId="0" hidden="1">Retirement!#REF!</definedName>
    <definedName name="solver_opt" localSheetId="3" hidden="1">'Retirement Plan'!#REF!</definedName>
    <definedName name="solver_pre" localSheetId="0" hidden="1">0.000001</definedName>
    <definedName name="solver_pre" localSheetId="3" hidden="1">0.000001</definedName>
    <definedName name="solver_scl" localSheetId="0" hidden="1">2</definedName>
    <definedName name="solver_scl" localSheetId="3" hidden="1">2</definedName>
    <definedName name="solver_sho" localSheetId="0" hidden="1">2</definedName>
    <definedName name="solver_sho" localSheetId="3" hidden="1">2</definedName>
    <definedName name="solver_tim" localSheetId="0" hidden="1">100</definedName>
    <definedName name="solver_tim" localSheetId="3" hidden="1">100</definedName>
    <definedName name="solver_tol" localSheetId="0" hidden="1">0.05</definedName>
    <definedName name="solver_tol" localSheetId="3" hidden="1">0.05</definedName>
    <definedName name="solver_typ" localSheetId="0" hidden="1">2</definedName>
    <definedName name="solver_typ" localSheetId="3" hidden="1">2</definedName>
    <definedName name="solver_val" localSheetId="0" hidden="1">1000</definedName>
    <definedName name="solver_val" localSheetId="3" hidden="1">1000</definedName>
    <definedName name="valuevx">42.314159</definedName>
    <definedName name="vertex42_copyright" hidden="1">"© 2015-2020 Vertex42 LLC"</definedName>
    <definedName name="vertex42_id" hidden="1">"retirement-calculator.xlsx"</definedName>
    <definedName name="vertex42_title" hidden="1">"Retirement Calculator"</definedName>
  </definedNames>
  <calcPr calcId="18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K14" i="1" l="1"/>
  <c r="K18" i="1"/>
  <c r="E11" i="1"/>
  <c r="C41" i="11"/>
  <c r="E40" i="11"/>
  <c r="E39" i="11"/>
  <c r="E38" i="11"/>
  <c r="E37" i="11"/>
  <c r="E36" i="11"/>
  <c r="E35" i="11" l="1"/>
  <c r="E34" i="11"/>
  <c r="E33" i="11"/>
  <c r="E32" i="11"/>
  <c r="E31" i="11"/>
  <c r="E30" i="11"/>
  <c r="E29" i="11"/>
  <c r="E24" i="11"/>
  <c r="E23" i="11"/>
  <c r="E13" i="11"/>
  <c r="E14" i="11"/>
  <c r="E15" i="11"/>
  <c r="E16" i="11"/>
  <c r="E17" i="11"/>
  <c r="E18" i="11"/>
  <c r="E19" i="11"/>
  <c r="E12" i="11"/>
  <c r="C2" i="10"/>
  <c r="C6" i="11" s="1"/>
  <c r="C20" i="11"/>
  <c r="B6" i="11"/>
  <c r="B7" i="10"/>
  <c r="C6" i="10"/>
  <c r="C3" i="10"/>
  <c r="C4" i="10"/>
  <c r="C5" i="10"/>
  <c r="K18" i="9"/>
  <c r="K21" i="9" s="1"/>
  <c r="K22" i="9" s="1"/>
  <c r="K129" i="9"/>
  <c r="A131" i="9" s="1"/>
  <c r="B131" i="9" s="1"/>
  <c r="A128" i="9"/>
  <c r="A50" i="9"/>
  <c r="F49" i="9" s="1"/>
  <c r="K48" i="9"/>
  <c r="E42" i="9"/>
  <c r="E26" i="9"/>
  <c r="E30" i="9" s="1"/>
  <c r="E20" i="9"/>
  <c r="K14" i="9"/>
  <c r="E11" i="9"/>
  <c r="K9" i="9"/>
  <c r="K10" i="9" s="1"/>
  <c r="E21" i="1"/>
  <c r="E12" i="1"/>
  <c r="E27" i="1"/>
  <c r="K21" i="1"/>
  <c r="C2" i="11" l="1"/>
  <c r="B27" i="11"/>
  <c r="E41" i="11"/>
  <c r="E20" i="11"/>
  <c r="C5" i="11"/>
  <c r="C4" i="11"/>
  <c r="D4" i="11" s="1"/>
  <c r="C3" i="11"/>
  <c r="E29" i="9"/>
  <c r="K15" i="9" s="1"/>
  <c r="K27" i="9" s="1"/>
  <c r="K28" i="9" s="1"/>
  <c r="D131" i="9"/>
  <c r="E131" i="9" s="1"/>
  <c r="D50" i="9"/>
  <c r="A51" i="9"/>
  <c r="B50" i="9"/>
  <c r="C50" i="9" s="1"/>
  <c r="C131" i="9"/>
  <c r="F130" i="9"/>
  <c r="I130" i="9"/>
  <c r="H130" i="9"/>
  <c r="A51" i="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E43" i="1"/>
  <c r="A129" i="1"/>
  <c r="D132" i="1"/>
  <c r="D51" i="1"/>
  <c r="B25" i="7"/>
  <c r="B23" i="7"/>
  <c r="B21" i="7"/>
  <c r="B27" i="7"/>
  <c r="B29" i="7"/>
  <c r="A88" i="1" l="1"/>
  <c r="F85" i="1"/>
  <c r="G85" i="1"/>
  <c r="D40" i="11"/>
  <c r="F40" i="11"/>
  <c r="D39" i="11"/>
  <c r="F39" i="11"/>
  <c r="D38" i="11"/>
  <c r="D37" i="11"/>
  <c r="D36" i="11"/>
  <c r="F36" i="11"/>
  <c r="F37" i="11"/>
  <c r="F38" i="11"/>
  <c r="B10" i="11"/>
  <c r="D16" i="11" s="1"/>
  <c r="G130" i="9"/>
  <c r="J130" i="9" s="1"/>
  <c r="K130" i="9" s="1"/>
  <c r="A132" i="9" s="1"/>
  <c r="I49" i="9"/>
  <c r="A52" i="9"/>
  <c r="B51" i="9"/>
  <c r="D51" i="9" s="1"/>
  <c r="F50" i="9"/>
  <c r="H49" i="9"/>
  <c r="K26" i="9"/>
  <c r="K29" i="9"/>
  <c r="E29" i="1"/>
  <c r="E28" i="1"/>
  <c r="A89" i="1" l="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F86" i="1"/>
  <c r="G86" i="1"/>
  <c r="D35" i="11"/>
  <c r="F35" i="11"/>
  <c r="F24" i="11"/>
  <c r="F23" i="11"/>
  <c r="D12" i="11"/>
  <c r="D17" i="11"/>
  <c r="F15" i="11"/>
  <c r="D19" i="11"/>
  <c r="F12" i="11"/>
  <c r="D15" i="11"/>
  <c r="F13" i="11"/>
  <c r="D14" i="11"/>
  <c r="F16" i="11"/>
  <c r="F19" i="11"/>
  <c r="F18" i="11"/>
  <c r="D18" i="11"/>
  <c r="D13" i="11"/>
  <c r="F17" i="11"/>
  <c r="D24" i="11"/>
  <c r="F14" i="11"/>
  <c r="D23" i="11"/>
  <c r="F30" i="11"/>
  <c r="D29" i="11"/>
  <c r="D33" i="11"/>
  <c r="D30" i="11"/>
  <c r="D31" i="11"/>
  <c r="D32" i="11"/>
  <c r="D34" i="11"/>
  <c r="F31" i="11"/>
  <c r="F32" i="11"/>
  <c r="F34" i="11"/>
  <c r="F33" i="11"/>
  <c r="F29" i="11"/>
  <c r="I50" i="9"/>
  <c r="H50" i="9"/>
  <c r="C51" i="9"/>
  <c r="F131" i="9"/>
  <c r="B132" i="9"/>
  <c r="H131" i="9" s="1"/>
  <c r="A53" i="9"/>
  <c r="F51" i="9"/>
  <c r="B52" i="9"/>
  <c r="H51" i="9" s="1"/>
  <c r="K30" i="9"/>
  <c r="K31" i="9"/>
  <c r="E30" i="1"/>
  <c r="K22" i="1"/>
  <c r="F41" i="11" l="1"/>
  <c r="D41" i="11"/>
  <c r="D20" i="11"/>
  <c r="F20" i="11"/>
  <c r="D52" i="9"/>
  <c r="E52" i="9" s="1"/>
  <c r="G51" i="9" s="1"/>
  <c r="I131" i="9"/>
  <c r="D132" i="9"/>
  <c r="E132" i="9" s="1"/>
  <c r="E41" i="9"/>
  <c r="A47" i="9"/>
  <c r="E51" i="9"/>
  <c r="E50" i="9"/>
  <c r="A54" i="9"/>
  <c r="F52" i="9"/>
  <c r="B53" i="9"/>
  <c r="C53" i="9" s="1"/>
  <c r="C52" i="9"/>
  <c r="I51" i="9"/>
  <c r="C132" i="9"/>
  <c r="K129" i="1"/>
  <c r="A132" i="1" s="1"/>
  <c r="H52" i="9" l="1"/>
  <c r="G49" i="9"/>
  <c r="J49" i="9" s="1"/>
  <c r="K49" i="9" s="1"/>
  <c r="G131" i="9"/>
  <c r="D53" i="9"/>
  <c r="E53" i="9" s="1"/>
  <c r="G52" i="9" s="1"/>
  <c r="A55" i="9"/>
  <c r="F53" i="9"/>
  <c r="B54" i="9"/>
  <c r="I53" i="9" s="1"/>
  <c r="I52" i="9"/>
  <c r="G50" i="9"/>
  <c r="B132" i="1"/>
  <c r="C132" i="1" s="1"/>
  <c r="F130" i="1"/>
  <c r="C54" i="9" l="1"/>
  <c r="D54" i="9"/>
  <c r="E54" i="9" s="1"/>
  <c r="G53" i="9" s="1"/>
  <c r="H53" i="9"/>
  <c r="J131" i="9"/>
  <c r="K131" i="9" s="1"/>
  <c r="A133" i="9" s="1"/>
  <c r="J50" i="9"/>
  <c r="K50" i="9" s="1"/>
  <c r="B55" i="9"/>
  <c r="C55" i="9" s="1"/>
  <c r="A56" i="9"/>
  <c r="F54" i="9"/>
  <c r="H130" i="1"/>
  <c r="I130" i="1" s="1"/>
  <c r="I54" i="9" l="1"/>
  <c r="B133" i="9"/>
  <c r="H132" i="9" s="1"/>
  <c r="F132" i="9"/>
  <c r="D55" i="9"/>
  <c r="E55" i="9" s="1"/>
  <c r="G54" i="9" s="1"/>
  <c r="H54" i="9"/>
  <c r="F55" i="9"/>
  <c r="B56" i="9"/>
  <c r="I55" i="9" s="1"/>
  <c r="A57" i="9"/>
  <c r="J51" i="9"/>
  <c r="K51" i="9" s="1"/>
  <c r="K48" i="1"/>
  <c r="C56" i="9" l="1"/>
  <c r="D133" i="9"/>
  <c r="E133" i="9" s="1"/>
  <c r="G132" i="9" s="1"/>
  <c r="I132" i="9"/>
  <c r="C133" i="9"/>
  <c r="D56" i="9"/>
  <c r="E56" i="9" s="1"/>
  <c r="J52" i="9"/>
  <c r="K52" i="9" s="1"/>
  <c r="H55" i="9"/>
  <c r="F56" i="9"/>
  <c r="A58" i="9"/>
  <c r="B57" i="9"/>
  <c r="H56" i="9" s="1"/>
  <c r="B51" i="1"/>
  <c r="H49" i="1" s="1"/>
  <c r="F49" i="1"/>
  <c r="J132" i="9" l="1"/>
  <c r="K132" i="9" s="1"/>
  <c r="A134" i="9" s="1"/>
  <c r="I56" i="9"/>
  <c r="C57" i="9"/>
  <c r="D57" i="9"/>
  <c r="E57" i="9" s="1"/>
  <c r="G56" i="9" s="1"/>
  <c r="G55" i="9"/>
  <c r="J53" i="9"/>
  <c r="K53" i="9" s="1"/>
  <c r="F57" i="9"/>
  <c r="B58" i="9"/>
  <c r="A59" i="9"/>
  <c r="K9" i="1"/>
  <c r="B59" i="9" l="1"/>
  <c r="A60" i="9"/>
  <c r="F58" i="9"/>
  <c r="J54" i="9"/>
  <c r="K54" i="9" s="1"/>
  <c r="D58" i="9"/>
  <c r="E58" i="9" s="1"/>
  <c r="G57" i="9" s="1"/>
  <c r="H57" i="9"/>
  <c r="C58" i="9"/>
  <c r="B134" i="9"/>
  <c r="D134" i="9" s="1"/>
  <c r="E134" i="9" s="1"/>
  <c r="F133" i="9"/>
  <c r="K10" i="1"/>
  <c r="I57" i="9" l="1"/>
  <c r="D59" i="9"/>
  <c r="E59" i="9" s="1"/>
  <c r="G58" i="9" s="1"/>
  <c r="H58" i="9"/>
  <c r="I133" i="9"/>
  <c r="H133" i="9"/>
  <c r="C59" i="9"/>
  <c r="G133" i="9"/>
  <c r="J55" i="9"/>
  <c r="K55" i="9" s="1"/>
  <c r="C134" i="9"/>
  <c r="B60" i="9"/>
  <c r="H59" i="9" s="1"/>
  <c r="A61" i="9"/>
  <c r="F59" i="9"/>
  <c r="F50" i="1"/>
  <c r="I49" i="1"/>
  <c r="B52" i="1"/>
  <c r="H50" i="1" s="1"/>
  <c r="I58" i="9" l="1"/>
  <c r="J133" i="9"/>
  <c r="K133" i="9" s="1"/>
  <c r="A135" i="9" s="1"/>
  <c r="B135" i="9" s="1"/>
  <c r="J56" i="9"/>
  <c r="K56" i="9" s="1"/>
  <c r="A62" i="9"/>
  <c r="F60" i="9"/>
  <c r="B61" i="9"/>
  <c r="H60" i="9" s="1"/>
  <c r="C60" i="9"/>
  <c r="D60" i="9"/>
  <c r="E60" i="9" s="1"/>
  <c r="G59" i="9" s="1"/>
  <c r="F51" i="1"/>
  <c r="B53" i="1"/>
  <c r="H51" i="1" s="1"/>
  <c r="I59" i="9" l="1"/>
  <c r="D135" i="9"/>
  <c r="E135" i="9" s="1"/>
  <c r="G134" i="9" s="1"/>
  <c r="F134" i="9"/>
  <c r="J57" i="9"/>
  <c r="K57" i="9" s="1"/>
  <c r="C61" i="9"/>
  <c r="D61" i="9"/>
  <c r="E61" i="9" s="1"/>
  <c r="G60" i="9" s="1"/>
  <c r="C135" i="9"/>
  <c r="A63" i="9"/>
  <c r="F61" i="9"/>
  <c r="B62" i="9"/>
  <c r="H134" i="9"/>
  <c r="I134" i="9"/>
  <c r="F52" i="1"/>
  <c r="B54" i="1"/>
  <c r="H52" i="1" s="1"/>
  <c r="I60" i="9" l="1"/>
  <c r="D62" i="9"/>
  <c r="E62" i="9" s="1"/>
  <c r="G61" i="9" s="1"/>
  <c r="H61" i="9"/>
  <c r="C62" i="9"/>
  <c r="J58" i="9"/>
  <c r="K58" i="9" s="1"/>
  <c r="J134" i="9"/>
  <c r="K134" i="9" s="1"/>
  <c r="A136" i="9" s="1"/>
  <c r="F62" i="9"/>
  <c r="B63" i="9"/>
  <c r="A64" i="9"/>
  <c r="F53" i="1"/>
  <c r="B55" i="1"/>
  <c r="H53" i="1" s="1"/>
  <c r="I61" i="9" l="1"/>
  <c r="D63" i="9"/>
  <c r="E63" i="9" s="1"/>
  <c r="G62" i="9" s="1"/>
  <c r="H62" i="9"/>
  <c r="B136" i="9"/>
  <c r="D136" i="9" s="1"/>
  <c r="F135" i="9"/>
  <c r="J59" i="9"/>
  <c r="K59" i="9" s="1"/>
  <c r="C63" i="9"/>
  <c r="F63" i="9"/>
  <c r="A65" i="9"/>
  <c r="B64" i="9"/>
  <c r="D64" i="9" s="1"/>
  <c r="E64" i="9" s="1"/>
  <c r="G63" i="9" s="1"/>
  <c r="F54" i="1"/>
  <c r="B56" i="1"/>
  <c r="H54" i="1" s="1"/>
  <c r="I62" i="9" l="1"/>
  <c r="C64" i="9"/>
  <c r="H63" i="9"/>
  <c r="I63" i="9" s="1"/>
  <c r="J60" i="9"/>
  <c r="K60" i="9" s="1"/>
  <c r="E136" i="9"/>
  <c r="I135" i="9"/>
  <c r="F64" i="9"/>
  <c r="B65" i="9"/>
  <c r="D65" i="9" s="1"/>
  <c r="E65" i="9" s="1"/>
  <c r="G64" i="9" s="1"/>
  <c r="A66" i="9"/>
  <c r="C136" i="9"/>
  <c r="H135" i="9"/>
  <c r="F55" i="1"/>
  <c r="B57" i="1"/>
  <c r="H55" i="1" s="1"/>
  <c r="C65" i="9" l="1"/>
  <c r="H64" i="9"/>
  <c r="I64" i="9" s="1"/>
  <c r="J61" i="9"/>
  <c r="K61" i="9" s="1"/>
  <c r="G135" i="9"/>
  <c r="J135" i="9" s="1"/>
  <c r="K135" i="9" s="1"/>
  <c r="A137" i="9" s="1"/>
  <c r="F65" i="9"/>
  <c r="A67" i="9"/>
  <c r="B66" i="9"/>
  <c r="F56" i="1"/>
  <c r="B58" i="1"/>
  <c r="H56" i="1" s="1"/>
  <c r="F136" i="9" l="1"/>
  <c r="B137" i="9"/>
  <c r="C137" i="9" s="1"/>
  <c r="J62" i="9"/>
  <c r="K62" i="9" s="1"/>
  <c r="C66" i="9"/>
  <c r="D66" i="9"/>
  <c r="E66" i="9" s="1"/>
  <c r="G65" i="9" s="1"/>
  <c r="H65" i="9"/>
  <c r="A68" i="9"/>
  <c r="B67" i="9"/>
  <c r="F66" i="9"/>
  <c r="F57" i="1"/>
  <c r="B59" i="1"/>
  <c r="H57" i="1" s="1"/>
  <c r="I65" i="9" l="1"/>
  <c r="D137" i="9"/>
  <c r="E137" i="9" s="1"/>
  <c r="G136" i="9" s="1"/>
  <c r="H136" i="9"/>
  <c r="I136" i="9"/>
  <c r="J63" i="9"/>
  <c r="K63" i="9" s="1"/>
  <c r="D67" i="9"/>
  <c r="E67" i="9" s="1"/>
  <c r="G66" i="9" s="1"/>
  <c r="B68" i="9"/>
  <c r="C68" i="9" s="1"/>
  <c r="A69" i="9"/>
  <c r="F67" i="9"/>
  <c r="C67" i="9"/>
  <c r="H66" i="9"/>
  <c r="F58" i="1"/>
  <c r="B60" i="1"/>
  <c r="H58" i="1" s="1"/>
  <c r="J136" i="9" l="1"/>
  <c r="K136" i="9" s="1"/>
  <c r="A138" i="9" s="1"/>
  <c r="F137" i="9" s="1"/>
  <c r="D68" i="9"/>
  <c r="E68" i="9" s="1"/>
  <c r="G67" i="9" s="1"/>
  <c r="J64" i="9"/>
  <c r="K64" i="9" s="1"/>
  <c r="I66" i="9"/>
  <c r="H67" i="9"/>
  <c r="A70" i="9"/>
  <c r="B69" i="9"/>
  <c r="H68" i="9" s="1"/>
  <c r="F68" i="9"/>
  <c r="F59" i="1"/>
  <c r="B61" i="1"/>
  <c r="H59" i="1" s="1"/>
  <c r="I67" i="9" l="1"/>
  <c r="B138" i="9"/>
  <c r="I137" i="9" s="1"/>
  <c r="J65" i="9"/>
  <c r="K65" i="9" s="1"/>
  <c r="C69" i="9"/>
  <c r="D69" i="9"/>
  <c r="I68" i="9" s="1"/>
  <c r="A71" i="9"/>
  <c r="F69" i="9"/>
  <c r="B70" i="9"/>
  <c r="H69" i="9" s="1"/>
  <c r="F60" i="1"/>
  <c r="B62" i="1"/>
  <c r="H60" i="1" s="1"/>
  <c r="D138" i="9" l="1"/>
  <c r="E138" i="9" s="1"/>
  <c r="G137" i="9" s="1"/>
  <c r="C138" i="9"/>
  <c r="H137" i="9"/>
  <c r="E69" i="9"/>
  <c r="G68" i="9" s="1"/>
  <c r="J66" i="9"/>
  <c r="K66" i="9" s="1"/>
  <c r="C70" i="9"/>
  <c r="D70" i="9"/>
  <c r="E70" i="9" s="1"/>
  <c r="G69" i="9" s="1"/>
  <c r="A72" i="9"/>
  <c r="F70" i="9"/>
  <c r="B71" i="9"/>
  <c r="H70" i="9" s="1"/>
  <c r="F61" i="1"/>
  <c r="B63" i="1"/>
  <c r="H61" i="1" s="1"/>
  <c r="I69" i="9" l="1"/>
  <c r="J137" i="9"/>
  <c r="K137" i="9" s="1"/>
  <c r="A139" i="9" s="1"/>
  <c r="F138" i="9" s="1"/>
  <c r="D71" i="9"/>
  <c r="I70" i="9" s="1"/>
  <c r="C71" i="9"/>
  <c r="J67" i="9"/>
  <c r="K67" i="9" s="1"/>
  <c r="F71" i="9"/>
  <c r="B72" i="9"/>
  <c r="H71" i="9" s="1"/>
  <c r="A73" i="9"/>
  <c r="F62" i="1"/>
  <c r="B64" i="1"/>
  <c r="H62" i="1" s="1"/>
  <c r="B139" i="9" l="1"/>
  <c r="C139" i="9" s="1"/>
  <c r="D72" i="9"/>
  <c r="E72" i="9" s="1"/>
  <c r="G71" i="9" s="1"/>
  <c r="E71" i="9"/>
  <c r="G70" i="9" s="1"/>
  <c r="J68" i="9"/>
  <c r="K68" i="9" s="1"/>
  <c r="F72" i="9"/>
  <c r="B73" i="9"/>
  <c r="D73" i="9" s="1"/>
  <c r="A74" i="9"/>
  <c r="C72" i="9"/>
  <c r="F63" i="1"/>
  <c r="B65" i="1"/>
  <c r="H63" i="1" s="1"/>
  <c r="I71" i="9" l="1"/>
  <c r="H138" i="9"/>
  <c r="D139" i="9"/>
  <c r="E139" i="9" s="1"/>
  <c r="G138" i="9" s="1"/>
  <c r="J69" i="9"/>
  <c r="K69" i="9" s="1"/>
  <c r="C73" i="9"/>
  <c r="A75" i="9"/>
  <c r="F73" i="9"/>
  <c r="B74" i="9"/>
  <c r="D74" i="9" s="1"/>
  <c r="E73" i="9"/>
  <c r="G72" i="9" s="1"/>
  <c r="H72" i="9"/>
  <c r="I72" i="9" s="1"/>
  <c r="F64" i="1"/>
  <c r="B66" i="1"/>
  <c r="H64" i="1" s="1"/>
  <c r="I138" i="9" l="1"/>
  <c r="J138" i="9" s="1"/>
  <c r="K138" i="9" s="1"/>
  <c r="A140" i="9" s="1"/>
  <c r="B140" i="9" s="1"/>
  <c r="E74" i="9"/>
  <c r="G73" i="9" s="1"/>
  <c r="H73" i="9"/>
  <c r="I73" i="9" s="1"/>
  <c r="J70" i="9"/>
  <c r="K70" i="9" s="1"/>
  <c r="A76" i="9"/>
  <c r="B75" i="9"/>
  <c r="C75" i="9" s="1"/>
  <c r="F74" i="9"/>
  <c r="C74" i="9"/>
  <c r="F65" i="1"/>
  <c r="B67" i="1"/>
  <c r="H65" i="1" s="1"/>
  <c r="H139" i="9" l="1"/>
  <c r="D140" i="9"/>
  <c r="E140" i="9" s="1"/>
  <c r="G139" i="9" s="1"/>
  <c r="C140" i="9"/>
  <c r="F139" i="9"/>
  <c r="H74" i="9"/>
  <c r="J71" i="9"/>
  <c r="K71" i="9" s="1"/>
  <c r="D75" i="9"/>
  <c r="B76" i="9"/>
  <c r="A77" i="9"/>
  <c r="F75" i="9"/>
  <c r="F66" i="1"/>
  <c r="B68" i="1"/>
  <c r="H66" i="1" s="1"/>
  <c r="I74" i="9" l="1"/>
  <c r="I139" i="9"/>
  <c r="J139" i="9" s="1"/>
  <c r="K139" i="9" s="1"/>
  <c r="A141" i="9" s="1"/>
  <c r="F140" i="9" s="1"/>
  <c r="E75" i="9"/>
  <c r="G74" i="9" s="1"/>
  <c r="H75" i="9"/>
  <c r="J72" i="9"/>
  <c r="K72" i="9" s="1"/>
  <c r="A78" i="9"/>
  <c r="B77" i="9"/>
  <c r="C77" i="9" s="1"/>
  <c r="F76" i="9"/>
  <c r="C76" i="9"/>
  <c r="D76" i="9"/>
  <c r="F67" i="1"/>
  <c r="B69" i="1"/>
  <c r="H67" i="1" s="1"/>
  <c r="I75" i="9" l="1"/>
  <c r="B141" i="9"/>
  <c r="C141" i="9" s="1"/>
  <c r="E76" i="9"/>
  <c r="G75" i="9" s="1"/>
  <c r="D77" i="9"/>
  <c r="J73" i="9"/>
  <c r="K73" i="9" s="1"/>
  <c r="E77" i="9"/>
  <c r="G76" i="9" s="1"/>
  <c r="H76" i="9"/>
  <c r="H140" i="9"/>
  <c r="A79" i="9"/>
  <c r="F77" i="9"/>
  <c r="B78" i="9"/>
  <c r="H77" i="9" s="1"/>
  <c r="F68" i="1"/>
  <c r="B70" i="1"/>
  <c r="H68" i="1" s="1"/>
  <c r="D141" i="9" l="1"/>
  <c r="I76" i="9"/>
  <c r="C78" i="9"/>
  <c r="D78" i="9"/>
  <c r="I77" i="9" s="1"/>
  <c r="J74" i="9"/>
  <c r="K74" i="9" s="1"/>
  <c r="B79" i="9"/>
  <c r="F78" i="9"/>
  <c r="A80" i="9"/>
  <c r="F69" i="1"/>
  <c r="B71" i="1"/>
  <c r="H69" i="1" s="1"/>
  <c r="E141" i="9" l="1"/>
  <c r="G140" i="9" s="1"/>
  <c r="I140" i="9"/>
  <c r="E78" i="9"/>
  <c r="G77" i="9" s="1"/>
  <c r="D79" i="9"/>
  <c r="E79" i="9" s="1"/>
  <c r="G78" i="9" s="1"/>
  <c r="H78" i="9"/>
  <c r="C79" i="9"/>
  <c r="J75" i="9"/>
  <c r="K75" i="9" s="1"/>
  <c r="F79" i="9"/>
  <c r="B80" i="9"/>
  <c r="C80" i="9" s="1"/>
  <c r="G79" i="9"/>
  <c r="A81" i="9"/>
  <c r="F70" i="1"/>
  <c r="B72" i="1"/>
  <c r="H70" i="1" s="1"/>
  <c r="J140" i="9" l="1"/>
  <c r="K140" i="9" s="1"/>
  <c r="A142" i="9" s="1"/>
  <c r="F141" i="9" s="1"/>
  <c r="I78" i="9"/>
  <c r="E80" i="9"/>
  <c r="H79" i="9"/>
  <c r="D80" i="9"/>
  <c r="J76" i="9"/>
  <c r="K76" i="9" s="1"/>
  <c r="F80" i="9"/>
  <c r="B81" i="9"/>
  <c r="D81" i="9" s="1"/>
  <c r="A82" i="9"/>
  <c r="G80" i="9"/>
  <c r="F71" i="1"/>
  <c r="B73" i="1"/>
  <c r="H71" i="1" s="1"/>
  <c r="B142" i="9" l="1"/>
  <c r="I79" i="9"/>
  <c r="H80" i="9"/>
  <c r="I80" i="9" s="1"/>
  <c r="E81" i="9"/>
  <c r="C81" i="9"/>
  <c r="J77" i="9"/>
  <c r="K77" i="9" s="1"/>
  <c r="B82" i="9"/>
  <c r="H81" i="9" s="1"/>
  <c r="A83" i="9"/>
  <c r="G81" i="9"/>
  <c r="F81" i="9"/>
  <c r="F72" i="1"/>
  <c r="B74" i="1"/>
  <c r="H72" i="1" s="1"/>
  <c r="D142" i="9" l="1"/>
  <c r="E142" i="9" s="1"/>
  <c r="G141" i="9" s="1"/>
  <c r="H141" i="9"/>
  <c r="I141" i="9" s="1"/>
  <c r="C142" i="9"/>
  <c r="C82" i="9"/>
  <c r="E82" i="9"/>
  <c r="D82" i="9"/>
  <c r="I81" i="9" s="1"/>
  <c r="J78" i="9"/>
  <c r="K78" i="9" s="1"/>
  <c r="A84" i="9"/>
  <c r="G82" i="9"/>
  <c r="B83" i="9"/>
  <c r="D83" i="9" s="1"/>
  <c r="F82" i="9"/>
  <c r="F73" i="1"/>
  <c r="B75" i="1"/>
  <c r="H73" i="1" s="1"/>
  <c r="J141" i="9" l="1"/>
  <c r="K141" i="9" s="1"/>
  <c r="A143" i="9" s="1"/>
  <c r="F142" i="9" s="1"/>
  <c r="H82" i="9"/>
  <c r="C83" i="9"/>
  <c r="E83" i="9"/>
  <c r="I82" i="9"/>
  <c r="J79" i="9"/>
  <c r="K79" i="9" s="1"/>
  <c r="B84" i="9"/>
  <c r="E84" i="9" s="1"/>
  <c r="A85" i="9"/>
  <c r="G83" i="9"/>
  <c r="F83" i="9"/>
  <c r="F74" i="1"/>
  <c r="B76" i="1"/>
  <c r="H74" i="1" s="1"/>
  <c r="B143" i="9" l="1"/>
  <c r="C143" i="9" s="1"/>
  <c r="H83" i="9"/>
  <c r="J80" i="9"/>
  <c r="K80" i="9" s="1"/>
  <c r="A86" i="9"/>
  <c r="G84" i="9"/>
  <c r="B85" i="9"/>
  <c r="E85" i="9" s="1"/>
  <c r="F84" i="9"/>
  <c r="C84" i="9"/>
  <c r="D84" i="9"/>
  <c r="F75" i="1"/>
  <c r="B77" i="1"/>
  <c r="H75" i="1" s="1"/>
  <c r="I142" i="9" l="1"/>
  <c r="H142" i="9"/>
  <c r="D143" i="9"/>
  <c r="E143" i="9" s="1"/>
  <c r="G142" i="9" s="1"/>
  <c r="I83" i="9"/>
  <c r="D85" i="9"/>
  <c r="J81" i="9"/>
  <c r="K81" i="9" s="1"/>
  <c r="C85" i="9"/>
  <c r="A87" i="9"/>
  <c r="G85" i="9"/>
  <c r="F85" i="9"/>
  <c r="B86" i="9"/>
  <c r="D86" i="9" s="1"/>
  <c r="H84" i="9"/>
  <c r="F76" i="1"/>
  <c r="B78" i="1"/>
  <c r="H76" i="1" s="1"/>
  <c r="J142" i="9" l="1"/>
  <c r="K142" i="9" s="1"/>
  <c r="A144" i="9" s="1"/>
  <c r="B144" i="9" s="1"/>
  <c r="H143" i="9" s="1"/>
  <c r="I84" i="9"/>
  <c r="J82" i="9"/>
  <c r="K82" i="9" s="1"/>
  <c r="G86" i="9"/>
  <c r="F86" i="9"/>
  <c r="B87" i="9"/>
  <c r="C87" i="9" s="1"/>
  <c r="A88" i="9"/>
  <c r="E86" i="9"/>
  <c r="C86" i="9"/>
  <c r="H85" i="9"/>
  <c r="I85" i="9" s="1"/>
  <c r="F77" i="1"/>
  <c r="B79" i="1"/>
  <c r="H77" i="1" s="1"/>
  <c r="G143" i="9" l="1"/>
  <c r="F143" i="9"/>
  <c r="C144" i="9"/>
  <c r="D144" i="9"/>
  <c r="E144" i="9" s="1"/>
  <c r="J83" i="9"/>
  <c r="K83" i="9" s="1"/>
  <c r="E87" i="9"/>
  <c r="D87" i="9"/>
  <c r="H86" i="9"/>
  <c r="C88" i="9"/>
  <c r="F87" i="9"/>
  <c r="A89" i="9"/>
  <c r="G87" i="9"/>
  <c r="B88" i="9"/>
  <c r="D88" i="9" s="1"/>
  <c r="F78" i="1"/>
  <c r="B80" i="1"/>
  <c r="H78" i="1" s="1"/>
  <c r="I143" i="9" l="1"/>
  <c r="J143" i="9" s="1"/>
  <c r="K143" i="9" s="1"/>
  <c r="A145" i="9" s="1"/>
  <c r="B145" i="9" s="1"/>
  <c r="H144" i="9" s="1"/>
  <c r="I86" i="9"/>
  <c r="J84" i="9"/>
  <c r="K84" i="9" s="1"/>
  <c r="E88" i="9"/>
  <c r="H87" i="9"/>
  <c r="I87" i="9" s="1"/>
  <c r="F88" i="9"/>
  <c r="B89" i="9"/>
  <c r="A90" i="9"/>
  <c r="G88" i="9"/>
  <c r="F79" i="1"/>
  <c r="B81" i="1"/>
  <c r="H79" i="1" s="1"/>
  <c r="G144" i="9" l="1"/>
  <c r="F144" i="9"/>
  <c r="D145" i="9"/>
  <c r="E145" i="9" s="1"/>
  <c r="C145" i="9"/>
  <c r="J85" i="9"/>
  <c r="K85" i="9" s="1"/>
  <c r="F89" i="9"/>
  <c r="B90" i="9"/>
  <c r="C90" i="9" s="1"/>
  <c r="A91" i="9"/>
  <c r="G89" i="9"/>
  <c r="D90" i="9"/>
  <c r="D89" i="9"/>
  <c r="C89" i="9"/>
  <c r="E89" i="9"/>
  <c r="H88" i="9"/>
  <c r="F80" i="1"/>
  <c r="B82" i="1"/>
  <c r="H80" i="1" s="1"/>
  <c r="I144" i="9" l="1"/>
  <c r="J144" i="9" s="1"/>
  <c r="K144" i="9" s="1"/>
  <c r="A146" i="9" s="1"/>
  <c r="H89" i="9"/>
  <c r="I89" i="9" s="1"/>
  <c r="E90" i="9"/>
  <c r="I88" i="9"/>
  <c r="J86" i="9"/>
  <c r="K86" i="9" s="1"/>
  <c r="G90" i="9"/>
  <c r="A92" i="9"/>
  <c r="B91" i="9"/>
  <c r="D91" i="9" s="1"/>
  <c r="F90" i="9"/>
  <c r="F81" i="1"/>
  <c r="B83" i="1"/>
  <c r="H81" i="1" s="1"/>
  <c r="F145" i="9" l="1"/>
  <c r="B146" i="9"/>
  <c r="H145" i="9" s="1"/>
  <c r="H90" i="9"/>
  <c r="I90" i="9" s="1"/>
  <c r="J87" i="9"/>
  <c r="K87" i="9" s="1"/>
  <c r="E91" i="9"/>
  <c r="C91" i="9"/>
  <c r="B92" i="9"/>
  <c r="D92" i="9" s="1"/>
  <c r="G91" i="9"/>
  <c r="A93" i="9"/>
  <c r="F91" i="9"/>
  <c r="F82" i="1"/>
  <c r="B84" i="1"/>
  <c r="H82" i="1" s="1"/>
  <c r="C146" i="9" l="1"/>
  <c r="D146" i="9"/>
  <c r="E146" i="9" s="1"/>
  <c r="E92" i="9"/>
  <c r="H91" i="9"/>
  <c r="I91" i="9" s="1"/>
  <c r="C92" i="9"/>
  <c r="G145" i="9"/>
  <c r="J88" i="9"/>
  <c r="K88" i="9" s="1"/>
  <c r="B93" i="9"/>
  <c r="H92" i="9" s="1"/>
  <c r="G92" i="9"/>
  <c r="A94" i="9"/>
  <c r="F92" i="9"/>
  <c r="F83" i="1"/>
  <c r="B85" i="1"/>
  <c r="H83" i="1" s="1"/>
  <c r="I145" i="9" l="1"/>
  <c r="J145" i="9" s="1"/>
  <c r="K145" i="9" s="1"/>
  <c r="A147" i="9" s="1"/>
  <c r="E93" i="9"/>
  <c r="C93" i="9"/>
  <c r="D93" i="9"/>
  <c r="I92" i="9" s="1"/>
  <c r="J89" i="9"/>
  <c r="K89" i="9" s="1"/>
  <c r="A95" i="9"/>
  <c r="G93" i="9"/>
  <c r="F93" i="9"/>
  <c r="B94" i="9"/>
  <c r="H93" i="9" s="1"/>
  <c r="F84" i="1"/>
  <c r="B86" i="1"/>
  <c r="H84" i="1" s="1"/>
  <c r="D94" i="9" l="1"/>
  <c r="I93" i="9" s="1"/>
  <c r="C94" i="9"/>
  <c r="E94" i="9"/>
  <c r="F146" i="9"/>
  <c r="B147" i="9"/>
  <c r="C147" i="9" s="1"/>
  <c r="J90" i="9"/>
  <c r="K90" i="9" s="1"/>
  <c r="A96" i="9"/>
  <c r="G94" i="9"/>
  <c r="F94" i="9"/>
  <c r="B95" i="9"/>
  <c r="E95" i="9" s="1"/>
  <c r="B87" i="1"/>
  <c r="H85" i="1" l="1"/>
  <c r="C95" i="9"/>
  <c r="H94" i="9"/>
  <c r="D95" i="9"/>
  <c r="D147" i="9"/>
  <c r="E147" i="9" s="1"/>
  <c r="G146" i="9" s="1"/>
  <c r="J91" i="9"/>
  <c r="K91" i="9" s="1"/>
  <c r="G95" i="9"/>
  <c r="F95" i="9"/>
  <c r="B96" i="9"/>
  <c r="C96" i="9" s="1"/>
  <c r="H95" i="9"/>
  <c r="A97" i="9"/>
  <c r="H146" i="9"/>
  <c r="I146" i="9" s="1"/>
  <c r="B88" i="1"/>
  <c r="H86" i="1" l="1"/>
  <c r="J146" i="9"/>
  <c r="K146" i="9" s="1"/>
  <c r="A148" i="9" s="1"/>
  <c r="B148" i="9" s="1"/>
  <c r="D148" i="9" s="1"/>
  <c r="I94" i="9"/>
  <c r="J92" i="9"/>
  <c r="K92" i="9" s="1"/>
  <c r="D96" i="9"/>
  <c r="I95" i="9" s="1"/>
  <c r="E96" i="9"/>
  <c r="F96" i="9"/>
  <c r="G96" i="9"/>
  <c r="B97" i="9"/>
  <c r="A98" i="9"/>
  <c r="F87" i="1"/>
  <c r="B89" i="1"/>
  <c r="H87" i="1" s="1"/>
  <c r="F147" i="9" l="1"/>
  <c r="J93" i="9"/>
  <c r="K93" i="9" s="1"/>
  <c r="E97" i="9"/>
  <c r="D97" i="9"/>
  <c r="H96" i="9"/>
  <c r="C97" i="9"/>
  <c r="H147" i="9"/>
  <c r="I147" i="9" s="1"/>
  <c r="E148" i="9"/>
  <c r="G147" i="9" s="1"/>
  <c r="F97" i="9"/>
  <c r="G97" i="9"/>
  <c r="B98" i="9"/>
  <c r="D98" i="9" s="1"/>
  <c r="A99" i="9"/>
  <c r="C148" i="9"/>
  <c r="F88" i="1"/>
  <c r="B90" i="1"/>
  <c r="H88" i="1" s="1"/>
  <c r="I96" i="9" l="1"/>
  <c r="J147" i="9"/>
  <c r="K147" i="9" s="1"/>
  <c r="A149" i="9" s="1"/>
  <c r="J94" i="9"/>
  <c r="K94" i="9" s="1"/>
  <c r="E98" i="9"/>
  <c r="H97" i="9"/>
  <c r="I97" i="9" s="1"/>
  <c r="C98" i="9"/>
  <c r="F98" i="9"/>
  <c r="A100" i="9"/>
  <c r="B99" i="9"/>
  <c r="E99" i="9" s="1"/>
  <c r="G98" i="9"/>
  <c r="F89" i="1"/>
  <c r="B91" i="1"/>
  <c r="H89" i="1" s="1"/>
  <c r="J95" i="9" l="1"/>
  <c r="K95" i="9" s="1"/>
  <c r="C99" i="9"/>
  <c r="D99" i="9"/>
  <c r="H98" i="9"/>
  <c r="B100" i="9"/>
  <c r="D100" i="9" s="1"/>
  <c r="F99" i="9"/>
  <c r="A101" i="9"/>
  <c r="G99" i="9"/>
  <c r="F148" i="9"/>
  <c r="B149" i="9"/>
  <c r="D149" i="9" s="1"/>
  <c r="F90" i="1"/>
  <c r="B92" i="1"/>
  <c r="D92" i="1" s="1"/>
  <c r="H148" i="9" l="1"/>
  <c r="I148" i="9" s="1"/>
  <c r="H99" i="9"/>
  <c r="C100" i="9"/>
  <c r="E100" i="9"/>
  <c r="I99" i="9"/>
  <c r="I98" i="9"/>
  <c r="C149" i="9"/>
  <c r="J96" i="9"/>
  <c r="K96" i="9" s="1"/>
  <c r="E149" i="9"/>
  <c r="G148" i="9" s="1"/>
  <c r="B101" i="9"/>
  <c r="E101" i="9" s="1"/>
  <c r="F100" i="9"/>
  <c r="D101" i="9"/>
  <c r="A102" i="9"/>
  <c r="C101" i="9"/>
  <c r="H100" i="9"/>
  <c r="G100" i="9"/>
  <c r="H90" i="1"/>
  <c r="F91" i="1"/>
  <c r="B93" i="1"/>
  <c r="D93" i="1" s="1"/>
  <c r="I100" i="9" l="1"/>
  <c r="J97" i="9"/>
  <c r="K97" i="9" s="1"/>
  <c r="J148" i="9"/>
  <c r="K148" i="9" s="1"/>
  <c r="A150" i="9" s="1"/>
  <c r="A103" i="9"/>
  <c r="G101" i="9"/>
  <c r="F101" i="9"/>
  <c r="B102" i="9"/>
  <c r="E102" i="9" s="1"/>
  <c r="H91" i="1"/>
  <c r="F92" i="1"/>
  <c r="B94" i="1"/>
  <c r="H92" i="1" s="1"/>
  <c r="D102" i="9" l="1"/>
  <c r="H101" i="9"/>
  <c r="C102" i="9"/>
  <c r="B150" i="9"/>
  <c r="H149" i="9" s="1"/>
  <c r="F149" i="9"/>
  <c r="D150" i="9"/>
  <c r="J98" i="9"/>
  <c r="K98" i="9" s="1"/>
  <c r="A104" i="9"/>
  <c r="G102" i="9"/>
  <c r="B103" i="9"/>
  <c r="C103" i="9" s="1"/>
  <c r="F102" i="9"/>
  <c r="F93" i="1"/>
  <c r="B95" i="1"/>
  <c r="D95" i="1" s="1"/>
  <c r="D94" i="1"/>
  <c r="I149" i="9" l="1"/>
  <c r="I101" i="9"/>
  <c r="E103" i="9"/>
  <c r="H102" i="9"/>
  <c r="D103" i="9"/>
  <c r="I102" i="9" s="1"/>
  <c r="J99" i="9"/>
  <c r="K99" i="9" s="1"/>
  <c r="E150" i="9"/>
  <c r="G149" i="9" s="1"/>
  <c r="C150" i="9"/>
  <c r="B104" i="9"/>
  <c r="H103" i="9" s="1"/>
  <c r="F103" i="9"/>
  <c r="A105" i="9"/>
  <c r="G103" i="9"/>
  <c r="H93" i="1"/>
  <c r="F94" i="1"/>
  <c r="B96" i="1"/>
  <c r="D96" i="1" s="1"/>
  <c r="J149" i="9" l="1"/>
  <c r="K149" i="9" s="1"/>
  <c r="A151" i="9" s="1"/>
  <c r="F150" i="9" s="1"/>
  <c r="J100" i="9"/>
  <c r="K100" i="9" s="1"/>
  <c r="E104" i="9"/>
  <c r="C104" i="9"/>
  <c r="D104" i="9"/>
  <c r="I103" i="9" s="1"/>
  <c r="F104" i="9"/>
  <c r="B105" i="9"/>
  <c r="D105" i="9" s="1"/>
  <c r="A106" i="9"/>
  <c r="G104" i="9"/>
  <c r="H94" i="1"/>
  <c r="F95" i="1"/>
  <c r="B97" i="1"/>
  <c r="D97" i="1" s="1"/>
  <c r="E105" i="9" l="1"/>
  <c r="C105" i="9"/>
  <c r="H104" i="9"/>
  <c r="I104" i="9" s="1"/>
  <c r="B151" i="9"/>
  <c r="J101" i="9"/>
  <c r="K101" i="9" s="1"/>
  <c r="F105" i="9"/>
  <c r="B106" i="9"/>
  <c r="D106" i="9" s="1"/>
  <c r="A107" i="9"/>
  <c r="G105" i="9"/>
  <c r="H95" i="1"/>
  <c r="F96" i="1"/>
  <c r="B98" i="1"/>
  <c r="H96" i="1" s="1"/>
  <c r="C106" i="9" l="1"/>
  <c r="H105" i="9"/>
  <c r="E106" i="9"/>
  <c r="I105" i="9"/>
  <c r="H150" i="9"/>
  <c r="D151" i="9"/>
  <c r="E151" i="9" s="1"/>
  <c r="G150" i="9" s="1"/>
  <c r="C151" i="9"/>
  <c r="J102" i="9"/>
  <c r="K102" i="9" s="1"/>
  <c r="B107" i="9"/>
  <c r="D107" i="9" s="1"/>
  <c r="A108" i="9"/>
  <c r="F106" i="9"/>
  <c r="G106" i="9"/>
  <c r="F97" i="1"/>
  <c r="B99" i="1"/>
  <c r="H97" i="1" s="1"/>
  <c r="D98" i="1"/>
  <c r="I150" i="9" l="1"/>
  <c r="J150" i="9" s="1"/>
  <c r="K150" i="9" s="1"/>
  <c r="A152" i="9" s="1"/>
  <c r="F151" i="9" s="1"/>
  <c r="H106" i="9"/>
  <c r="I106" i="9"/>
  <c r="E107" i="9"/>
  <c r="C107" i="9"/>
  <c r="J103" i="9"/>
  <c r="K103" i="9" s="1"/>
  <c r="F107" i="9"/>
  <c r="B108" i="9"/>
  <c r="C108" i="9" s="1"/>
  <c r="G107" i="9"/>
  <c r="A109" i="9"/>
  <c r="F98" i="1"/>
  <c r="D99" i="1"/>
  <c r="B100" i="1"/>
  <c r="D100" i="1" s="1"/>
  <c r="D108" i="9" l="1"/>
  <c r="H107" i="9"/>
  <c r="I107" i="9" s="1"/>
  <c r="E108" i="9"/>
  <c r="B152" i="9"/>
  <c r="C152" i="9" s="1"/>
  <c r="J104" i="9"/>
  <c r="K104" i="9" s="1"/>
  <c r="B109" i="9"/>
  <c r="H108" i="9" s="1"/>
  <c r="A110" i="9"/>
  <c r="G108" i="9"/>
  <c r="F108" i="9"/>
  <c r="H98" i="1"/>
  <c r="F99" i="1"/>
  <c r="B101" i="1"/>
  <c r="D101" i="1" s="1"/>
  <c r="D109" i="9" l="1"/>
  <c r="D152" i="9"/>
  <c r="H151" i="9"/>
  <c r="E109" i="9"/>
  <c r="E152" i="9"/>
  <c r="G151" i="9" s="1"/>
  <c r="I108" i="9"/>
  <c r="J105" i="9"/>
  <c r="K105" i="9" s="1"/>
  <c r="C109" i="9"/>
  <c r="B110" i="9"/>
  <c r="C110" i="9" s="1"/>
  <c r="E110" i="9"/>
  <c r="H109" i="9"/>
  <c r="A111" i="9"/>
  <c r="D110" i="9"/>
  <c r="I109" i="9" s="1"/>
  <c r="G109" i="9"/>
  <c r="F109" i="9"/>
  <c r="H99" i="1"/>
  <c r="F100" i="1"/>
  <c r="B102" i="1"/>
  <c r="H100" i="1" s="1"/>
  <c r="I151" i="9" l="1"/>
  <c r="J106" i="9"/>
  <c r="K106" i="9" s="1"/>
  <c r="J151" i="9"/>
  <c r="K151" i="9" s="1"/>
  <c r="A153" i="9" s="1"/>
  <c r="A112" i="9"/>
  <c r="G110" i="9"/>
  <c r="B111" i="9"/>
  <c r="E111" i="9" s="1"/>
  <c r="F110" i="9"/>
  <c r="F101" i="1"/>
  <c r="B103" i="1"/>
  <c r="H101" i="1" s="1"/>
  <c r="D102" i="1"/>
  <c r="D111" i="9" l="1"/>
  <c r="H110" i="9"/>
  <c r="I110" i="9" s="1"/>
  <c r="C111" i="9"/>
  <c r="J107" i="9"/>
  <c r="K107" i="9" s="1"/>
  <c r="F152" i="9"/>
  <c r="B153" i="9"/>
  <c r="H152" i="9" s="1"/>
  <c r="A113" i="9"/>
  <c r="G111" i="9"/>
  <c r="H111" i="9"/>
  <c r="F111" i="9"/>
  <c r="E112" i="9"/>
  <c r="C112" i="9"/>
  <c r="B112" i="9"/>
  <c r="D112" i="9" s="1"/>
  <c r="I111" i="9" s="1"/>
  <c r="F102" i="1"/>
  <c r="D103" i="1"/>
  <c r="B104" i="1"/>
  <c r="H102" i="1" s="1"/>
  <c r="J108" i="9" l="1"/>
  <c r="K108" i="9" s="1"/>
  <c r="C153" i="9"/>
  <c r="D153" i="9"/>
  <c r="I152" i="9" s="1"/>
  <c r="E153" i="9"/>
  <c r="A114" i="9"/>
  <c r="G112" i="9"/>
  <c r="F112" i="9"/>
  <c r="B113" i="9"/>
  <c r="H112" i="9" s="1"/>
  <c r="F103" i="1"/>
  <c r="D104" i="1"/>
  <c r="B105" i="1"/>
  <c r="D105" i="1" s="1"/>
  <c r="J109" i="9" l="1"/>
  <c r="K109" i="9" s="1"/>
  <c r="E113" i="9"/>
  <c r="D113" i="9"/>
  <c r="I112" i="9" s="1"/>
  <c r="C113" i="9"/>
  <c r="G152" i="9"/>
  <c r="J152" i="9" s="1"/>
  <c r="K152" i="9" s="1"/>
  <c r="A154" i="9" s="1"/>
  <c r="F113" i="9"/>
  <c r="B114" i="9"/>
  <c r="C114" i="9" s="1"/>
  <c r="H113" i="9"/>
  <c r="G113" i="9"/>
  <c r="A115" i="9"/>
  <c r="H103" i="1"/>
  <c r="F104" i="1"/>
  <c r="B106" i="1"/>
  <c r="H104" i="1" s="1"/>
  <c r="J110" i="9" l="1"/>
  <c r="K110" i="9" s="1"/>
  <c r="D114" i="9"/>
  <c r="I113" i="9" s="1"/>
  <c r="E114" i="9"/>
  <c r="F153" i="9"/>
  <c r="B154" i="9"/>
  <c r="D154" i="9" s="1"/>
  <c r="F114" i="9"/>
  <c r="B115" i="9"/>
  <c r="C115" i="9" s="1"/>
  <c r="A116" i="9"/>
  <c r="G114" i="9"/>
  <c r="F105" i="1"/>
  <c r="B107" i="1"/>
  <c r="H105" i="1" s="1"/>
  <c r="D106" i="1"/>
  <c r="J111" i="9" l="1"/>
  <c r="K111" i="9" s="1"/>
  <c r="H114" i="9"/>
  <c r="E115" i="9"/>
  <c r="D115" i="9"/>
  <c r="I114" i="9" s="1"/>
  <c r="H153" i="9"/>
  <c r="C154" i="9"/>
  <c r="E154" i="9"/>
  <c r="I153" i="9"/>
  <c r="E116" i="9"/>
  <c r="H115" i="9"/>
  <c r="C116" i="9"/>
  <c r="F115" i="9"/>
  <c r="B116" i="9"/>
  <c r="A117" i="9"/>
  <c r="G115" i="9"/>
  <c r="D116" i="9"/>
  <c r="I115" i="9" s="1"/>
  <c r="F106" i="1"/>
  <c r="D107" i="1"/>
  <c r="B108" i="1"/>
  <c r="D108" i="1" s="1"/>
  <c r="J112" i="9" l="1"/>
  <c r="K112" i="9" s="1"/>
  <c r="G153" i="9"/>
  <c r="J153" i="9" s="1"/>
  <c r="B117" i="9"/>
  <c r="C117" i="9" s="1"/>
  <c r="A118" i="9"/>
  <c r="G116" i="9"/>
  <c r="F116" i="9"/>
  <c r="H106" i="1"/>
  <c r="F107" i="1"/>
  <c r="B109" i="1"/>
  <c r="D109" i="1" s="1"/>
  <c r="J113" i="9" l="1"/>
  <c r="K113" i="9" s="1"/>
  <c r="D117" i="9"/>
  <c r="I116" i="9" s="1"/>
  <c r="E117" i="9"/>
  <c r="H116" i="9"/>
  <c r="K153" i="9"/>
  <c r="A155" i="9" s="1"/>
  <c r="B155" i="9" s="1"/>
  <c r="B118" i="9"/>
  <c r="E118" i="9"/>
  <c r="H117" i="9"/>
  <c r="A119" i="9"/>
  <c r="D118" i="9"/>
  <c r="I117" i="9" s="1"/>
  <c r="G117" i="9"/>
  <c r="F117" i="9"/>
  <c r="C118" i="9"/>
  <c r="H107" i="1"/>
  <c r="F108" i="1"/>
  <c r="B110" i="1"/>
  <c r="H108" i="1" s="1"/>
  <c r="J114" i="9" l="1"/>
  <c r="K114" i="9" s="1"/>
  <c r="F154" i="9"/>
  <c r="C155" i="9"/>
  <c r="H154" i="9"/>
  <c r="D155" i="9"/>
  <c r="E155" i="9" s="1"/>
  <c r="G154" i="9" s="1"/>
  <c r="J154" i="9" s="1"/>
  <c r="K154" i="9" s="1"/>
  <c r="A156" i="9" s="1"/>
  <c r="I154" i="9"/>
  <c r="A120" i="9"/>
  <c r="G118" i="9"/>
  <c r="B119" i="9"/>
  <c r="H118" i="9" s="1"/>
  <c r="F118" i="9"/>
  <c r="F109" i="1"/>
  <c r="B111" i="1"/>
  <c r="H109" i="1" s="1"/>
  <c r="D110" i="1"/>
  <c r="J115" i="9" l="1"/>
  <c r="K115" i="9" s="1"/>
  <c r="D119" i="9"/>
  <c r="I118" i="9" s="1"/>
  <c r="C119" i="9"/>
  <c r="E119" i="9"/>
  <c r="F155" i="9"/>
  <c r="B156" i="9"/>
  <c r="D156" i="9" s="1"/>
  <c r="A121" i="9"/>
  <c r="G119" i="9"/>
  <c r="F119" i="9"/>
  <c r="B120" i="9"/>
  <c r="D120" i="9" s="1"/>
  <c r="F110" i="1"/>
  <c r="D111" i="1"/>
  <c r="B112" i="1"/>
  <c r="H110" i="1" s="1"/>
  <c r="J116" i="9" l="1"/>
  <c r="K116" i="9" s="1"/>
  <c r="C120" i="9"/>
  <c r="E120" i="9"/>
  <c r="H119" i="9"/>
  <c r="I119" i="9" s="1"/>
  <c r="C156" i="9"/>
  <c r="E156" i="9"/>
  <c r="G155" i="9" s="1"/>
  <c r="H155" i="9"/>
  <c r="I155" i="9" s="1"/>
  <c r="A122" i="9"/>
  <c r="D121" i="9"/>
  <c r="G120" i="9"/>
  <c r="C121" i="9"/>
  <c r="F120" i="9"/>
  <c r="B121" i="9"/>
  <c r="E121" i="9" s="1"/>
  <c r="H120" i="9"/>
  <c r="F111" i="1"/>
  <c r="D112" i="1"/>
  <c r="B113" i="1"/>
  <c r="D113" i="1" s="1"/>
  <c r="J117" i="9" l="1"/>
  <c r="K117" i="9" s="1"/>
  <c r="I120" i="9"/>
  <c r="J155" i="9"/>
  <c r="K155" i="9" s="1"/>
  <c r="A157" i="9" s="1"/>
  <c r="F156" i="9" s="1"/>
  <c r="F121" i="9"/>
  <c r="A123" i="9"/>
  <c r="G121" i="9"/>
  <c r="B122" i="9"/>
  <c r="D122" i="9" s="1"/>
  <c r="H111" i="1"/>
  <c r="F112" i="1"/>
  <c r="B114" i="1"/>
  <c r="H112" i="1" s="1"/>
  <c r="J118" i="9" l="1"/>
  <c r="K118" i="9" s="1"/>
  <c r="C122" i="9"/>
  <c r="H121" i="9"/>
  <c r="I121" i="9" s="1"/>
  <c r="E122" i="9"/>
  <c r="B157" i="9"/>
  <c r="H156" i="9" s="1"/>
  <c r="F122" i="9"/>
  <c r="B123" i="9"/>
  <c r="E123" i="9" s="1"/>
  <c r="A124" i="9"/>
  <c r="G122" i="9"/>
  <c r="F113" i="1"/>
  <c r="B115" i="1"/>
  <c r="H113" i="1" s="1"/>
  <c r="H114" i="1"/>
  <c r="D114" i="1"/>
  <c r="J119" i="9" l="1"/>
  <c r="K119" i="9" s="1"/>
  <c r="D123" i="9"/>
  <c r="H122" i="9"/>
  <c r="C123" i="9"/>
  <c r="I122" i="9"/>
  <c r="C157" i="9"/>
  <c r="D157" i="9"/>
  <c r="E157" i="9" s="1"/>
  <c r="G156" i="9" s="1"/>
  <c r="F123" i="9"/>
  <c r="B124" i="9"/>
  <c r="D124" i="9" s="1"/>
  <c r="G123" i="9"/>
  <c r="E116" i="1"/>
  <c r="F114" i="1"/>
  <c r="D115" i="1"/>
  <c r="B116" i="1"/>
  <c r="D116" i="1" s="1"/>
  <c r="H115" i="1"/>
  <c r="J120" i="9" l="1"/>
  <c r="K120" i="9" s="1"/>
  <c r="H123" i="9"/>
  <c r="E124" i="9"/>
  <c r="C124" i="9"/>
  <c r="I123" i="9"/>
  <c r="I156" i="9"/>
  <c r="J156" i="9"/>
  <c r="K156" i="9" s="1"/>
  <c r="A158" i="9" s="1"/>
  <c r="E117" i="1"/>
  <c r="F115" i="1"/>
  <c r="J115" i="1"/>
  <c r="K115" i="1"/>
  <c r="D117" i="1"/>
  <c r="B117" i="1"/>
  <c r="H116" i="1"/>
  <c r="J121" i="9" l="1"/>
  <c r="K121" i="9" s="1"/>
  <c r="F157" i="9"/>
  <c r="B158" i="9"/>
  <c r="E118" i="1"/>
  <c r="F116" i="1"/>
  <c r="J116" i="1"/>
  <c r="K116" i="1"/>
  <c r="D118" i="1"/>
  <c r="B118" i="1"/>
  <c r="H117" i="1"/>
  <c r="J122" i="9" l="1"/>
  <c r="K122" i="9" s="1"/>
  <c r="C158" i="9"/>
  <c r="D158" i="9"/>
  <c r="E158" i="9" s="1"/>
  <c r="G157" i="9" s="1"/>
  <c r="H157" i="9"/>
  <c r="E119" i="1"/>
  <c r="F117" i="1"/>
  <c r="J117" i="1"/>
  <c r="K117" i="1"/>
  <c r="B119" i="1"/>
  <c r="D119" i="1"/>
  <c r="H118" i="1"/>
  <c r="J123" i="9" l="1"/>
  <c r="K123" i="9" s="1"/>
  <c r="I157" i="9"/>
  <c r="J157" i="9" s="1"/>
  <c r="K157" i="9" s="1"/>
  <c r="A159" i="9" s="1"/>
  <c r="E120" i="1"/>
  <c r="F118" i="1"/>
  <c r="J118" i="1"/>
  <c r="K118" i="1"/>
  <c r="D120" i="1"/>
  <c r="B120" i="1"/>
  <c r="H119" i="1"/>
  <c r="B159" i="9" l="1"/>
  <c r="D159" i="9" s="1"/>
  <c r="F158" i="9"/>
  <c r="E121" i="1"/>
  <c r="F119" i="1"/>
  <c r="J119" i="1"/>
  <c r="K119" i="1"/>
  <c r="D121" i="1"/>
  <c r="B121" i="1"/>
  <c r="H120" i="1"/>
  <c r="H158" i="9" l="1"/>
  <c r="I158" i="9" s="1"/>
  <c r="E159" i="9"/>
  <c r="G158" i="9" s="1"/>
  <c r="C159" i="9"/>
  <c r="E122" i="1"/>
  <c r="F120" i="1"/>
  <c r="J120" i="1"/>
  <c r="K120" i="1"/>
  <c r="D122" i="1"/>
  <c r="B122" i="1"/>
  <c r="H121" i="1"/>
  <c r="J158" i="9" l="1"/>
  <c r="K158" i="9" s="1"/>
  <c r="A160" i="9" s="1"/>
  <c r="F159" i="9" s="1"/>
  <c r="E123" i="1"/>
  <c r="F121" i="1"/>
  <c r="J121" i="1"/>
  <c r="K121" i="1"/>
  <c r="B123" i="1"/>
  <c r="D123" i="1"/>
  <c r="H122" i="1"/>
  <c r="H123" i="1"/>
  <c r="B160" i="9" l="1"/>
  <c r="C160" i="9" s="1"/>
  <c r="E124" i="1"/>
  <c r="E125" i="1"/>
  <c r="F122" i="1"/>
  <c r="F123" i="1"/>
  <c r="J123" i="1"/>
  <c r="J122" i="1"/>
  <c r="K123" i="1"/>
  <c r="K122" i="1"/>
  <c r="D125" i="1"/>
  <c r="B125" i="1"/>
  <c r="B124" i="1"/>
  <c r="D124" i="1"/>
  <c r="H159" i="9" l="1"/>
  <c r="E160" i="9"/>
  <c r="G159" i="9" s="1"/>
  <c r="D160" i="9"/>
  <c r="I159" i="9" s="1"/>
  <c r="E132" i="1"/>
  <c r="G130" i="1" s="1"/>
  <c r="J130" i="1" s="1"/>
  <c r="J159" i="9" l="1"/>
  <c r="K159" i="9" s="1"/>
  <c r="A161" i="9" s="1"/>
  <c r="E101" i="1"/>
  <c r="E102" i="1"/>
  <c r="E103" i="1"/>
  <c r="E104" i="1"/>
  <c r="E105" i="1"/>
  <c r="E106" i="1"/>
  <c r="E107" i="1"/>
  <c r="E108" i="1"/>
  <c r="E109" i="1"/>
  <c r="E110" i="1"/>
  <c r="E111" i="1"/>
  <c r="E112" i="1"/>
  <c r="E113" i="1"/>
  <c r="E114" i="1"/>
  <c r="E115" i="1"/>
  <c r="E98" i="1"/>
  <c r="E99" i="1"/>
  <c r="E100" i="1"/>
  <c r="D52" i="1"/>
  <c r="D53" i="1" s="1"/>
  <c r="D54" i="1" s="1"/>
  <c r="D55" i="1" s="1"/>
  <c r="D56" i="1" s="1"/>
  <c r="D57" i="1" s="1"/>
  <c r="D58" i="1" s="1"/>
  <c r="D59" i="1" s="1"/>
  <c r="D60" i="1" s="1"/>
  <c r="D61" i="1" s="1"/>
  <c r="D62" i="1" s="1"/>
  <c r="D63" i="1" s="1"/>
  <c r="D64" i="1" s="1"/>
  <c r="D65" i="1" s="1"/>
  <c r="D66" i="1" s="1"/>
  <c r="D67" i="1" s="1"/>
  <c r="D68" i="1" s="1"/>
  <c r="D69" i="1" s="1"/>
  <c r="D70" i="1" s="1"/>
  <c r="D71" i="1" s="1"/>
  <c r="D72" i="1" s="1"/>
  <c r="D73" i="1" s="1"/>
  <c r="D74" i="1" s="1"/>
  <c r="D75" i="1" s="1"/>
  <c r="D76" i="1" s="1"/>
  <c r="D77" i="1" s="1"/>
  <c r="D78" i="1" s="1"/>
  <c r="D79" i="1" s="1"/>
  <c r="D80" i="1" s="1"/>
  <c r="D81" i="1" s="1"/>
  <c r="D82" i="1" s="1"/>
  <c r="D83" i="1" s="1"/>
  <c r="D84" i="1" s="1"/>
  <c r="D85" i="1" s="1"/>
  <c r="D86" i="1" s="1"/>
  <c r="D87" i="1" s="1"/>
  <c r="D88" i="1" l="1"/>
  <c r="I85" i="1"/>
  <c r="B161" i="9"/>
  <c r="E161" i="9" s="1"/>
  <c r="G160" i="9"/>
  <c r="F160" i="9"/>
  <c r="K130" i="1"/>
  <c r="C51" i="1"/>
  <c r="D89" i="1" l="1"/>
  <c r="D90" i="1" s="1"/>
  <c r="D91" i="1" s="1"/>
  <c r="I86" i="1"/>
  <c r="C161" i="9"/>
  <c r="D161" i="9"/>
  <c r="H160" i="9"/>
  <c r="A133" i="1"/>
  <c r="I160" i="9" l="1"/>
  <c r="J160" i="9" s="1"/>
  <c r="K160" i="9" s="1"/>
  <c r="A162" i="9" s="1"/>
  <c r="B133" i="1"/>
  <c r="F131" i="1"/>
  <c r="F161" i="9" l="1"/>
  <c r="G161" i="9"/>
  <c r="B162" i="9"/>
  <c r="D162" i="9" s="1"/>
  <c r="C162" i="9"/>
  <c r="E162" i="9"/>
  <c r="H161" i="9"/>
  <c r="D133" i="1"/>
  <c r="E133" i="1" s="1"/>
  <c r="G131" i="1" s="1"/>
  <c r="C133" i="1"/>
  <c r="H131" i="1"/>
  <c r="I131" i="1" s="1"/>
  <c r="I161" i="9" l="1"/>
  <c r="J161" i="9" s="1"/>
  <c r="K161" i="9" s="1"/>
  <c r="A163" i="9" s="1"/>
  <c r="J131" i="1"/>
  <c r="K131" i="1" s="1"/>
  <c r="A134" i="1" s="1"/>
  <c r="B163" i="9" l="1"/>
  <c r="D163" i="9" s="1"/>
  <c r="G162" i="9"/>
  <c r="F162" i="9"/>
  <c r="H162" i="9"/>
  <c r="C163" i="9"/>
  <c r="E163" i="9"/>
  <c r="J162" i="9" s="1"/>
  <c r="K162" i="9" s="1"/>
  <c r="A164" i="9" s="1"/>
  <c r="I162" i="9"/>
  <c r="F132" i="1"/>
  <c r="B134" i="1"/>
  <c r="C134" i="1" s="1"/>
  <c r="G163" i="9" l="1"/>
  <c r="B164" i="9"/>
  <c r="E164" i="9" s="1"/>
  <c r="F163" i="9"/>
  <c r="C164" i="9"/>
  <c r="H163" i="9"/>
  <c r="D164" i="9"/>
  <c r="D134" i="1"/>
  <c r="E134" i="1" s="1"/>
  <c r="G132" i="1" s="1"/>
  <c r="H132" i="1"/>
  <c r="I163" i="9" l="1"/>
  <c r="J163" i="9" s="1"/>
  <c r="K163" i="9" s="1"/>
  <c r="A165" i="9" s="1"/>
  <c r="B165" i="9" s="1"/>
  <c r="C165" i="9" s="1"/>
  <c r="I132" i="1"/>
  <c r="J132" i="1" s="1"/>
  <c r="K132" i="1" s="1"/>
  <c r="G96" i="1"/>
  <c r="F164" i="9" l="1"/>
  <c r="G164" i="9"/>
  <c r="H164" i="9"/>
  <c r="E165" i="9"/>
  <c r="D165" i="9"/>
  <c r="I164" i="9" s="1"/>
  <c r="A135" i="1"/>
  <c r="G97" i="1"/>
  <c r="J164" i="9" l="1"/>
  <c r="K164" i="9" s="1"/>
  <c r="A166" i="9" s="1"/>
  <c r="B135" i="1"/>
  <c r="C135" i="1" s="1"/>
  <c r="F133" i="1"/>
  <c r="G98" i="1"/>
  <c r="F165" i="9" l="1"/>
  <c r="B166" i="9"/>
  <c r="C166" i="9" s="1"/>
  <c r="G165" i="9"/>
  <c r="D135" i="1"/>
  <c r="E135" i="1" s="1"/>
  <c r="G133" i="1" s="1"/>
  <c r="H133" i="1"/>
  <c r="G99" i="1"/>
  <c r="H165" i="9" l="1"/>
  <c r="E166" i="9"/>
  <c r="D166" i="9"/>
  <c r="I165" i="9" s="1"/>
  <c r="I133" i="1"/>
  <c r="J133" i="1" s="1"/>
  <c r="K133" i="1" s="1"/>
  <c r="A136" i="1" s="1"/>
  <c r="G100" i="1"/>
  <c r="J165" i="9" l="1"/>
  <c r="K165" i="9" s="1"/>
  <c r="A167" i="9" s="1"/>
  <c r="B136" i="1"/>
  <c r="D136" i="1" s="1"/>
  <c r="F134" i="1"/>
  <c r="G101" i="1"/>
  <c r="F166" i="9" l="1"/>
  <c r="B167" i="9"/>
  <c r="E167" i="9" s="1"/>
  <c r="G166" i="9"/>
  <c r="C136" i="1"/>
  <c r="E136" i="1"/>
  <c r="G134" i="1" s="1"/>
  <c r="H134" i="1"/>
  <c r="I134" i="1" s="1"/>
  <c r="G102" i="1"/>
  <c r="C167" i="9" l="1"/>
  <c r="H166" i="9"/>
  <c r="I166" i="9" s="1"/>
  <c r="J166" i="9" s="1"/>
  <c r="K166" i="9" s="1"/>
  <c r="A168" i="9" s="1"/>
  <c r="D167" i="9"/>
  <c r="J134" i="1"/>
  <c r="K134" i="1" s="1"/>
  <c r="A137" i="1" s="1"/>
  <c r="G103" i="1"/>
  <c r="F167" i="9" l="1"/>
  <c r="B168" i="9"/>
  <c r="G167" i="9"/>
  <c r="B137" i="1"/>
  <c r="F135" i="1"/>
  <c r="C105" i="1"/>
  <c r="G104" i="1"/>
  <c r="E168" i="9" l="1"/>
  <c r="D168" i="9"/>
  <c r="H167" i="9"/>
  <c r="C168" i="9"/>
  <c r="D137" i="1"/>
  <c r="E137" i="1" s="1"/>
  <c r="G135" i="1" s="1"/>
  <c r="C137" i="1"/>
  <c r="H135" i="1"/>
  <c r="I103" i="1"/>
  <c r="C106" i="1"/>
  <c r="G105" i="1"/>
  <c r="I167" i="9" l="1"/>
  <c r="J167" i="9" s="1"/>
  <c r="K167" i="9" s="1"/>
  <c r="A169" i="9" s="1"/>
  <c r="I135" i="1"/>
  <c r="J135" i="1" s="1"/>
  <c r="K135" i="1" s="1"/>
  <c r="A138" i="1" s="1"/>
  <c r="I104" i="1"/>
  <c r="C107" i="1"/>
  <c r="G106" i="1"/>
  <c r="G168" i="9" l="1"/>
  <c r="F168" i="9"/>
  <c r="B169" i="9"/>
  <c r="C169" i="9" s="1"/>
  <c r="F136" i="1"/>
  <c r="B138" i="1"/>
  <c r="H136" i="1" s="1"/>
  <c r="C108" i="1"/>
  <c r="I105" i="1"/>
  <c r="G107" i="1"/>
  <c r="H168" i="9" l="1"/>
  <c r="E169" i="9"/>
  <c r="D169" i="9"/>
  <c r="I168" i="9" s="1"/>
  <c r="J168" i="9" s="1"/>
  <c r="K168" i="9" s="1"/>
  <c r="A170" i="9" s="1"/>
  <c r="C138" i="1"/>
  <c r="D138" i="1"/>
  <c r="E138" i="1" s="1"/>
  <c r="G136" i="1" s="1"/>
  <c r="I106" i="1"/>
  <c r="C109" i="1"/>
  <c r="G108" i="1"/>
  <c r="G169" i="9" l="1"/>
  <c r="F169" i="9"/>
  <c r="B170" i="9"/>
  <c r="I136" i="1"/>
  <c r="J136" i="1" s="1"/>
  <c r="K136" i="1" s="1"/>
  <c r="A139" i="1" s="1"/>
  <c r="I107" i="1"/>
  <c r="C110" i="1"/>
  <c r="G109" i="1"/>
  <c r="E170" i="9" l="1"/>
  <c r="H169" i="9"/>
  <c r="C170" i="9"/>
  <c r="D170" i="9"/>
  <c r="I169" i="9" s="1"/>
  <c r="F137" i="1"/>
  <c r="B139" i="1"/>
  <c r="C139" i="1" s="1"/>
  <c r="C111" i="1"/>
  <c r="I108" i="1"/>
  <c r="G110" i="1"/>
  <c r="J169" i="9" l="1"/>
  <c r="K169" i="9" s="1"/>
  <c r="A171" i="9" s="1"/>
  <c r="D139" i="1"/>
  <c r="E139" i="1" s="1"/>
  <c r="G137" i="1" s="1"/>
  <c r="H137" i="1"/>
  <c r="I137" i="1" s="1"/>
  <c r="I109" i="1"/>
  <c r="C112" i="1"/>
  <c r="G111" i="1"/>
  <c r="F170" i="9" l="1"/>
  <c r="G170" i="9"/>
  <c r="B171" i="9"/>
  <c r="D171" i="9" s="1"/>
  <c r="J137" i="1"/>
  <c r="K137" i="1" s="1"/>
  <c r="A140" i="1" s="1"/>
  <c r="I110" i="1"/>
  <c r="C113" i="1"/>
  <c r="I111" i="1"/>
  <c r="G112" i="1"/>
  <c r="E171" i="9" l="1"/>
  <c r="C171" i="9"/>
  <c r="H170" i="9"/>
  <c r="I170" i="9" s="1"/>
  <c r="B140" i="1"/>
  <c r="C140" i="1" s="1"/>
  <c r="F138" i="1"/>
  <c r="C114" i="1"/>
  <c r="I112" i="1"/>
  <c r="G113" i="1"/>
  <c r="J170" i="9" l="1"/>
  <c r="K170" i="9" s="1"/>
  <c r="A172" i="9" s="1"/>
  <c r="D140" i="1"/>
  <c r="E140" i="1" s="1"/>
  <c r="G138" i="1" s="1"/>
  <c r="H138" i="1"/>
  <c r="I138" i="1" s="1"/>
  <c r="C115" i="1"/>
  <c r="I113" i="1"/>
  <c r="G114" i="1"/>
  <c r="G171" i="9" l="1"/>
  <c r="B172" i="9"/>
  <c r="E172" i="9" s="1"/>
  <c r="F171" i="9"/>
  <c r="J138" i="1"/>
  <c r="K138" i="1" s="1"/>
  <c r="A141" i="1" s="1"/>
  <c r="F139" i="1" s="1"/>
  <c r="C116" i="1"/>
  <c r="I114" i="1"/>
  <c r="G115" i="1"/>
  <c r="C172" i="9" l="1"/>
  <c r="H171" i="9"/>
  <c r="D172" i="9"/>
  <c r="B141" i="1"/>
  <c r="H139" i="1" s="1"/>
  <c r="C117" i="1"/>
  <c r="I115" i="1"/>
  <c r="G116" i="1"/>
  <c r="I116" i="1"/>
  <c r="I171" i="9" l="1"/>
  <c r="J171" i="9" s="1"/>
  <c r="K171" i="9" s="1"/>
  <c r="A173" i="9" s="1"/>
  <c r="D141" i="1"/>
  <c r="E141" i="1" s="1"/>
  <c r="G139" i="1" s="1"/>
  <c r="C141" i="1"/>
  <c r="C118" i="1"/>
  <c r="G117" i="1"/>
  <c r="I117" i="1"/>
  <c r="B173" i="9" l="1"/>
  <c r="E173" i="9"/>
  <c r="H172" i="9"/>
  <c r="F172" i="9"/>
  <c r="D173" i="9"/>
  <c r="I172" i="9" s="1"/>
  <c r="C173" i="9"/>
  <c r="G172" i="9"/>
  <c r="I139" i="1"/>
  <c r="J139" i="1" s="1"/>
  <c r="K139" i="1" s="1"/>
  <c r="A142" i="1" s="1"/>
  <c r="B142" i="1" s="1"/>
  <c r="C119" i="1"/>
  <c r="G118" i="1"/>
  <c r="I118" i="1"/>
  <c r="J172" i="9" l="1"/>
  <c r="K172" i="9" s="1"/>
  <c r="A174" i="9" s="1"/>
  <c r="D142" i="1"/>
  <c r="E142" i="1" s="1"/>
  <c r="G140" i="1" s="1"/>
  <c r="F140" i="1"/>
  <c r="C142" i="1"/>
  <c r="H140" i="1"/>
  <c r="C120" i="1"/>
  <c r="G119" i="1"/>
  <c r="C121" i="1"/>
  <c r="B174" i="9" l="1"/>
  <c r="C174" i="9"/>
  <c r="D174" i="9"/>
  <c r="E174" i="9"/>
  <c r="F173" i="9"/>
  <c r="G173" i="9"/>
  <c r="H173" i="9"/>
  <c r="I173" i="9" s="1"/>
  <c r="I140" i="1"/>
  <c r="J140" i="1" s="1"/>
  <c r="K140" i="1" s="1"/>
  <c r="A143" i="1" s="1"/>
  <c r="I119" i="1"/>
  <c r="G120" i="1"/>
  <c r="C122" i="1"/>
  <c r="I120" i="1"/>
  <c r="J173" i="9" l="1"/>
  <c r="K173" i="9" s="1"/>
  <c r="A175" i="9" s="1"/>
  <c r="B143" i="1"/>
  <c r="H141" i="1" s="1"/>
  <c r="F141" i="1"/>
  <c r="G121" i="1"/>
  <c r="B175" i="9" l="1"/>
  <c r="H174" i="9"/>
  <c r="E175" i="9"/>
  <c r="G174" i="9"/>
  <c r="D175" i="9"/>
  <c r="I174" i="9" s="1"/>
  <c r="F174" i="9"/>
  <c r="C175" i="9"/>
  <c r="D143" i="1"/>
  <c r="E143" i="1" s="1"/>
  <c r="G141" i="1" s="1"/>
  <c r="C143" i="1"/>
  <c r="C123" i="1"/>
  <c r="I121" i="1"/>
  <c r="G123" i="1"/>
  <c r="G122" i="1"/>
  <c r="I123" i="1"/>
  <c r="J174" i="9" l="1"/>
  <c r="K174" i="9" s="1"/>
  <c r="A176" i="9" s="1"/>
  <c r="I141" i="1"/>
  <c r="J141" i="1" s="1"/>
  <c r="K141" i="1" s="1"/>
  <c r="A144" i="1" s="1"/>
  <c r="I122" i="1"/>
  <c r="C124" i="1"/>
  <c r="C125" i="1"/>
  <c r="F175" i="9" l="1"/>
  <c r="G175" i="9"/>
  <c r="B176" i="9"/>
  <c r="C176" i="9" s="1"/>
  <c r="F142" i="1"/>
  <c r="B144" i="1"/>
  <c r="H142" i="1" s="1"/>
  <c r="I50" i="1"/>
  <c r="C52" i="1"/>
  <c r="E176" i="9" l="1"/>
  <c r="H175" i="9"/>
  <c r="D176" i="9"/>
  <c r="D144" i="1"/>
  <c r="E144" i="1" s="1"/>
  <c r="G142" i="1" s="1"/>
  <c r="C144" i="1"/>
  <c r="I52" i="1"/>
  <c r="I51" i="1"/>
  <c r="C54" i="1"/>
  <c r="C53" i="1"/>
  <c r="I175" i="9" l="1"/>
  <c r="J175" i="9" s="1"/>
  <c r="K175" i="9" s="1"/>
  <c r="A177" i="9" s="1"/>
  <c r="B177" i="9" s="1"/>
  <c r="I142" i="1"/>
  <c r="J142" i="1" s="1"/>
  <c r="K142" i="1" s="1"/>
  <c r="A145" i="1" s="1"/>
  <c r="I53" i="1"/>
  <c r="C55" i="1"/>
  <c r="D177" i="9" l="1"/>
  <c r="H176" i="9"/>
  <c r="E177" i="9"/>
  <c r="F176" i="9"/>
  <c r="C177" i="9"/>
  <c r="G176" i="9"/>
  <c r="B145" i="1"/>
  <c r="F143" i="1"/>
  <c r="I54" i="1"/>
  <c r="C56" i="1"/>
  <c r="I176" i="9" l="1"/>
  <c r="J176" i="9" s="1"/>
  <c r="K176" i="9" s="1"/>
  <c r="A178" i="9" s="1"/>
  <c r="D145" i="1"/>
  <c r="E145" i="1" s="1"/>
  <c r="G143" i="1" s="1"/>
  <c r="C145" i="1"/>
  <c r="H143" i="1"/>
  <c r="I55" i="1"/>
  <c r="C57" i="1"/>
  <c r="F177" i="9" l="1"/>
  <c r="J177" i="9"/>
  <c r="I177" i="9"/>
  <c r="H177" i="9"/>
  <c r="B178" i="9"/>
  <c r="C178" i="9"/>
  <c r="K177" i="9"/>
  <c r="A179" i="9" s="1"/>
  <c r="K178" i="9" s="1"/>
  <c r="A180" i="9" s="1"/>
  <c r="E178" i="9"/>
  <c r="G177" i="9"/>
  <c r="D178" i="9"/>
  <c r="I143" i="1"/>
  <c r="J143" i="1" s="1"/>
  <c r="K143" i="1" s="1"/>
  <c r="A146" i="1" s="1"/>
  <c r="I56" i="1"/>
  <c r="C58" i="1"/>
  <c r="I178" i="9" l="1"/>
  <c r="H178" i="9"/>
  <c r="J178" i="9"/>
  <c r="F178" i="9"/>
  <c r="C179" i="9"/>
  <c r="E179" i="9"/>
  <c r="D179" i="9"/>
  <c r="B179" i="9"/>
  <c r="G178" i="9"/>
  <c r="B180" i="9"/>
  <c r="K179" i="9"/>
  <c r="A181" i="9" s="1"/>
  <c r="C180" i="9"/>
  <c r="H179" i="9"/>
  <c r="D180" i="9"/>
  <c r="F179" i="9"/>
  <c r="G179" i="9"/>
  <c r="E180" i="9"/>
  <c r="I179" i="9"/>
  <c r="J179" i="9"/>
  <c r="F144" i="1"/>
  <c r="B146" i="1"/>
  <c r="H144" i="1" s="1"/>
  <c r="I57" i="1"/>
  <c r="C59" i="1"/>
  <c r="G180" i="9" l="1"/>
  <c r="K180" i="9"/>
  <c r="A182" i="9" s="1"/>
  <c r="E181" i="9"/>
  <c r="C181" i="9"/>
  <c r="F180" i="9"/>
  <c r="H180" i="9"/>
  <c r="B181" i="9"/>
  <c r="D181" i="9"/>
  <c r="I180" i="9"/>
  <c r="J180" i="9"/>
  <c r="D146" i="1"/>
  <c r="E146" i="1" s="1"/>
  <c r="G144" i="1" s="1"/>
  <c r="C146" i="1"/>
  <c r="I58" i="1"/>
  <c r="C60" i="1"/>
  <c r="B182" i="9" l="1"/>
  <c r="H181" i="9"/>
  <c r="K181" i="9"/>
  <c r="A183" i="9" s="1"/>
  <c r="I181" i="9"/>
  <c r="E182" i="9"/>
  <c r="G181" i="9"/>
  <c r="C182" i="9"/>
  <c r="J181" i="9"/>
  <c r="F181" i="9"/>
  <c r="D182" i="9"/>
  <c r="I144" i="1"/>
  <c r="J144" i="1" s="1"/>
  <c r="K144" i="1" s="1"/>
  <c r="A147" i="1" s="1"/>
  <c r="I59" i="1"/>
  <c r="C61" i="1"/>
  <c r="H182" i="9" l="1"/>
  <c r="G182" i="9"/>
  <c r="B183" i="9"/>
  <c r="J182" i="9"/>
  <c r="I182" i="9"/>
  <c r="C183" i="9"/>
  <c r="K182" i="9"/>
  <c r="A184" i="9" s="1"/>
  <c r="E183" i="9"/>
  <c r="F182" i="9"/>
  <c r="D183" i="9"/>
  <c r="F145" i="1"/>
  <c r="B147" i="1"/>
  <c r="I60" i="1"/>
  <c r="C62" i="1"/>
  <c r="J183" i="9" l="1"/>
  <c r="E184" i="9"/>
  <c r="D184" i="9"/>
  <c r="H183" i="9"/>
  <c r="G183" i="9"/>
  <c r="F183" i="9"/>
  <c r="C184" i="9"/>
  <c r="B184" i="9"/>
  <c r="I183" i="9"/>
  <c r="K183" i="9"/>
  <c r="A185" i="9" s="1"/>
  <c r="H145" i="1"/>
  <c r="C147" i="1"/>
  <c r="D147" i="1"/>
  <c r="E147" i="1" s="1"/>
  <c r="G145" i="1" s="1"/>
  <c r="I61" i="1"/>
  <c r="C63" i="1"/>
  <c r="D185" i="9" l="1"/>
  <c r="J184" i="9"/>
  <c r="C185" i="9"/>
  <c r="B185" i="9"/>
  <c r="I184" i="9"/>
  <c r="G184" i="9"/>
  <c r="F184" i="9"/>
  <c r="H184" i="9"/>
  <c r="E185" i="9"/>
  <c r="K184" i="9"/>
  <c r="A186" i="9" s="1"/>
  <c r="I145" i="1"/>
  <c r="J145" i="1" s="1"/>
  <c r="K145" i="1" s="1"/>
  <c r="A148" i="1" s="1"/>
  <c r="I62" i="1"/>
  <c r="C64" i="1"/>
  <c r="F185" i="9" l="1"/>
  <c r="H185" i="9"/>
  <c r="D186" i="9"/>
  <c r="J185" i="9"/>
  <c r="I185" i="9"/>
  <c r="K185" i="9"/>
  <c r="A187" i="9" s="1"/>
  <c r="B186" i="9"/>
  <c r="G185" i="9"/>
  <c r="C186" i="9"/>
  <c r="E186" i="9"/>
  <c r="F146" i="1"/>
  <c r="B148" i="1"/>
  <c r="H146" i="1" s="1"/>
  <c r="I63" i="1"/>
  <c r="C65" i="1"/>
  <c r="G186" i="9" l="1"/>
  <c r="J186" i="9"/>
  <c r="F186" i="9"/>
  <c r="C187" i="9"/>
  <c r="D187" i="9"/>
  <c r="B187" i="9"/>
  <c r="H186" i="9"/>
  <c r="I186" i="9"/>
  <c r="E187" i="9"/>
  <c r="K186" i="9"/>
  <c r="A188" i="9" s="1"/>
  <c r="C148" i="1"/>
  <c r="D148" i="1"/>
  <c r="E148" i="1" s="1"/>
  <c r="G146" i="1" s="1"/>
  <c r="I64" i="1"/>
  <c r="C66" i="1"/>
  <c r="D188" i="9" l="1"/>
  <c r="K187" i="9"/>
  <c r="A189" i="9" s="1"/>
  <c r="I187" i="9"/>
  <c r="F187" i="9"/>
  <c r="C188" i="9"/>
  <c r="E188" i="9"/>
  <c r="B188" i="9"/>
  <c r="H187" i="9"/>
  <c r="G187" i="9"/>
  <c r="J187" i="9"/>
  <c r="I146" i="1"/>
  <c r="J146" i="1" s="1"/>
  <c r="K146" i="1" s="1"/>
  <c r="A149" i="1" s="1"/>
  <c r="I65" i="1"/>
  <c r="C67" i="1"/>
  <c r="G188" i="9" l="1"/>
  <c r="C189" i="9"/>
  <c r="K188" i="9"/>
  <c r="A190" i="9" s="1"/>
  <c r="H188" i="9"/>
  <c r="E189" i="9"/>
  <c r="B189" i="9"/>
  <c r="J188" i="9"/>
  <c r="I188" i="9"/>
  <c r="D189" i="9"/>
  <c r="F188" i="9"/>
  <c r="F147" i="1"/>
  <c r="B149" i="1"/>
  <c r="D149" i="1" s="1"/>
  <c r="I66" i="1"/>
  <c r="C68" i="1"/>
  <c r="C190" i="9" l="1"/>
  <c r="J189" i="9"/>
  <c r="I189" i="9"/>
  <c r="D190" i="9"/>
  <c r="B190" i="9"/>
  <c r="G189" i="9"/>
  <c r="E190" i="9"/>
  <c r="F189" i="9"/>
  <c r="K189" i="9"/>
  <c r="A191" i="9" s="1"/>
  <c r="H189" i="9"/>
  <c r="H147" i="1"/>
  <c r="I147" i="1" s="1"/>
  <c r="C149" i="1"/>
  <c r="E149" i="1"/>
  <c r="G147" i="1" s="1"/>
  <c r="I67" i="1"/>
  <c r="C69" i="1"/>
  <c r="H190" i="9" l="1"/>
  <c r="C191" i="9"/>
  <c r="J190" i="9"/>
  <c r="D191" i="9"/>
  <c r="G190" i="9"/>
  <c r="I190" i="9"/>
  <c r="E191" i="9"/>
  <c r="K190" i="9"/>
  <c r="A192" i="9" s="1"/>
  <c r="F190" i="9"/>
  <c r="B191" i="9"/>
  <c r="J147" i="1"/>
  <c r="K147" i="1" s="1"/>
  <c r="A150" i="1" s="1"/>
  <c r="I68" i="1"/>
  <c r="C70" i="1"/>
  <c r="G191" i="9" l="1"/>
  <c r="K191" i="9"/>
  <c r="A193" i="9" s="1"/>
  <c r="B192" i="9"/>
  <c r="J191" i="9"/>
  <c r="F191" i="9"/>
  <c r="H191" i="9"/>
  <c r="I191" i="9"/>
  <c r="D192" i="9"/>
  <c r="C192" i="9"/>
  <c r="E192" i="9"/>
  <c r="F148" i="1"/>
  <c r="B150" i="1"/>
  <c r="C150" i="1" s="1"/>
  <c r="I69" i="1"/>
  <c r="C71" i="1"/>
  <c r="K192" i="9" l="1"/>
  <c r="A194" i="9" s="1"/>
  <c r="B193" i="9"/>
  <c r="E193" i="9"/>
  <c r="H192" i="9"/>
  <c r="C193" i="9"/>
  <c r="J192" i="9"/>
  <c r="F192" i="9"/>
  <c r="D193" i="9"/>
  <c r="G192" i="9"/>
  <c r="I192" i="9"/>
  <c r="H148" i="1"/>
  <c r="D150" i="1"/>
  <c r="E150" i="1" s="1"/>
  <c r="I70" i="1"/>
  <c r="C72" i="1"/>
  <c r="B194" i="9" l="1"/>
  <c r="E194" i="9"/>
  <c r="I193" i="9"/>
  <c r="H193" i="9"/>
  <c r="F193" i="9"/>
  <c r="D194" i="9"/>
  <c r="C194" i="9"/>
  <c r="G193" i="9"/>
  <c r="J193" i="9"/>
  <c r="K193" i="9"/>
  <c r="A195" i="9" s="1"/>
  <c r="I148" i="1"/>
  <c r="G148" i="1"/>
  <c r="I71" i="1"/>
  <c r="C73" i="1"/>
  <c r="B195" i="9" l="1"/>
  <c r="K194" i="9"/>
  <c r="A196" i="9" s="1"/>
  <c r="G194" i="9"/>
  <c r="D195" i="9"/>
  <c r="C195" i="9"/>
  <c r="J194" i="9"/>
  <c r="I194" i="9"/>
  <c r="F194" i="9"/>
  <c r="H194" i="9"/>
  <c r="E195" i="9"/>
  <c r="J148" i="1"/>
  <c r="K148" i="1" s="1"/>
  <c r="A151" i="1" s="1"/>
  <c r="I72" i="1"/>
  <c r="C74" i="1"/>
  <c r="K195" i="9" l="1"/>
  <c r="A197" i="9" s="1"/>
  <c r="G195" i="9"/>
  <c r="B196" i="9"/>
  <c r="D196" i="9"/>
  <c r="E196" i="9"/>
  <c r="F195" i="9"/>
  <c r="J195" i="9"/>
  <c r="C196" i="9"/>
  <c r="I195" i="9"/>
  <c r="H195" i="9"/>
  <c r="B151" i="1"/>
  <c r="H149" i="1" s="1"/>
  <c r="F149" i="1"/>
  <c r="I73" i="1"/>
  <c r="C75" i="1"/>
  <c r="E197" i="9" l="1"/>
  <c r="C197" i="9"/>
  <c r="G196" i="9"/>
  <c r="H196" i="9"/>
  <c r="I196" i="9"/>
  <c r="K196" i="9"/>
  <c r="A198" i="9" s="1"/>
  <c r="D197" i="9"/>
  <c r="F196" i="9"/>
  <c r="B197" i="9"/>
  <c r="J196" i="9"/>
  <c r="C151" i="1"/>
  <c r="D151" i="1"/>
  <c r="E151" i="1" s="1"/>
  <c r="G149" i="1" s="1"/>
  <c r="I74" i="1"/>
  <c r="C76" i="1"/>
  <c r="C198" i="9" l="1"/>
  <c r="G197" i="9"/>
  <c r="I197" i="9"/>
  <c r="F197" i="9"/>
  <c r="D198" i="9"/>
  <c r="J197" i="9"/>
  <c r="B198" i="9"/>
  <c r="E198" i="9"/>
  <c r="H197" i="9"/>
  <c r="K197" i="9"/>
  <c r="A199" i="9" s="1"/>
  <c r="I149" i="1"/>
  <c r="J149" i="1" s="1"/>
  <c r="K149" i="1" s="1"/>
  <c r="A152" i="1" s="1"/>
  <c r="B152" i="1" s="1"/>
  <c r="I75" i="1"/>
  <c r="C77" i="1"/>
  <c r="D199" i="9" l="1"/>
  <c r="J198" i="9"/>
  <c r="E199" i="9"/>
  <c r="G198" i="9"/>
  <c r="B199" i="9"/>
  <c r="F198" i="9"/>
  <c r="C199" i="9"/>
  <c r="I198" i="9"/>
  <c r="H198" i="9"/>
  <c r="K198" i="9"/>
  <c r="A200" i="9" s="1"/>
  <c r="F150" i="1"/>
  <c r="D152" i="1"/>
  <c r="E152" i="1" s="1"/>
  <c r="G150" i="1" s="1"/>
  <c r="C152" i="1"/>
  <c r="H150" i="1"/>
  <c r="C78" i="1"/>
  <c r="I199" i="9" l="1"/>
  <c r="C200" i="9"/>
  <c r="F199" i="9"/>
  <c r="J199" i="9"/>
  <c r="H199" i="9"/>
  <c r="K199" i="9"/>
  <c r="A201" i="9" s="1"/>
  <c r="B200" i="9"/>
  <c r="D200" i="9"/>
  <c r="E200" i="9"/>
  <c r="G199" i="9"/>
  <c r="I150" i="1"/>
  <c r="J150" i="1" s="1"/>
  <c r="K150" i="1" s="1"/>
  <c r="A153" i="1" s="1"/>
  <c r="I76" i="1"/>
  <c r="I77" i="1"/>
  <c r="C79" i="1"/>
  <c r="D201" i="9" l="1"/>
  <c r="F200" i="9"/>
  <c r="G200" i="9"/>
  <c r="C201" i="9"/>
  <c r="J200" i="9"/>
  <c r="E201" i="9"/>
  <c r="B201" i="9"/>
  <c r="K200" i="9"/>
  <c r="A202" i="9" s="1"/>
  <c r="H200" i="9"/>
  <c r="I200" i="9"/>
  <c r="B153" i="1"/>
  <c r="F151" i="1"/>
  <c r="I78" i="1"/>
  <c r="C80" i="1"/>
  <c r="F201" i="9" l="1"/>
  <c r="I201" i="9"/>
  <c r="K201" i="9"/>
  <c r="A203" i="9" s="1"/>
  <c r="G201" i="9"/>
  <c r="C202" i="9"/>
  <c r="E202" i="9"/>
  <c r="H201" i="9"/>
  <c r="D202" i="9"/>
  <c r="J201" i="9"/>
  <c r="B202" i="9"/>
  <c r="D153" i="1"/>
  <c r="E153" i="1" s="1"/>
  <c r="G151" i="1" s="1"/>
  <c r="C153" i="1"/>
  <c r="H151" i="1"/>
  <c r="C81" i="1"/>
  <c r="D203" i="9" l="1"/>
  <c r="B203" i="9"/>
  <c r="F202" i="9"/>
  <c r="G202" i="9"/>
  <c r="K202" i="9"/>
  <c r="A204" i="9" s="1"/>
  <c r="J202" i="9"/>
  <c r="H202" i="9"/>
  <c r="I202" i="9"/>
  <c r="E203" i="9"/>
  <c r="C203" i="9"/>
  <c r="I151" i="1"/>
  <c r="J151" i="1" s="1"/>
  <c r="K151" i="1" s="1"/>
  <c r="A154" i="1" s="1"/>
  <c r="B154" i="1" s="1"/>
  <c r="D154" i="1" s="1"/>
  <c r="I79" i="1"/>
  <c r="C82" i="1"/>
  <c r="B204" i="9" l="1"/>
  <c r="C204" i="9"/>
  <c r="J203" i="9"/>
  <c r="F203" i="9"/>
  <c r="I203" i="9"/>
  <c r="H203" i="9"/>
  <c r="G203" i="9"/>
  <c r="K203" i="9"/>
  <c r="A205" i="9" s="1"/>
  <c r="D204" i="9"/>
  <c r="E204" i="9"/>
  <c r="F152" i="1"/>
  <c r="E154" i="1"/>
  <c r="G152" i="1" s="1"/>
  <c r="C154" i="1"/>
  <c r="H152" i="1"/>
  <c r="I152" i="1" s="1"/>
  <c r="I80" i="1"/>
  <c r="C83" i="1"/>
  <c r="B205" i="9" l="1"/>
  <c r="K204" i="9"/>
  <c r="G204" i="9"/>
  <c r="C205" i="9"/>
  <c r="H204" i="9"/>
  <c r="F204" i="9"/>
  <c r="J204" i="9"/>
  <c r="I204" i="9"/>
  <c r="D205" i="9"/>
  <c r="E205" i="9"/>
  <c r="J152" i="1"/>
  <c r="K152" i="1" s="1"/>
  <c r="A155" i="1" s="1"/>
  <c r="I81" i="1"/>
  <c r="C84" i="1"/>
  <c r="B155" i="1" l="1"/>
  <c r="F153" i="1"/>
  <c r="I82" i="1"/>
  <c r="C85" i="1"/>
  <c r="D155" i="1" l="1"/>
  <c r="E155" i="1" s="1"/>
  <c r="G153" i="1" s="1"/>
  <c r="C155" i="1"/>
  <c r="H153" i="1"/>
  <c r="I83" i="1"/>
  <c r="C86" i="1"/>
  <c r="I153" i="1" l="1"/>
  <c r="J153" i="1" s="1"/>
  <c r="K153" i="1" s="1"/>
  <c r="A156" i="1" s="1"/>
  <c r="B156" i="1" s="1"/>
  <c r="C156" i="1" s="1"/>
  <c r="I84" i="1"/>
  <c r="C87" i="1"/>
  <c r="D156" i="1" l="1"/>
  <c r="E156" i="1" s="1"/>
  <c r="G154" i="1" s="1"/>
  <c r="F154" i="1"/>
  <c r="H154" i="1"/>
  <c r="I154" i="1" s="1"/>
  <c r="C88" i="1"/>
  <c r="J154" i="1" l="1"/>
  <c r="K154" i="1" s="1"/>
  <c r="A157" i="1" s="1"/>
  <c r="C89" i="1"/>
  <c r="B157" i="1" l="1"/>
  <c r="H155" i="1" s="1"/>
  <c r="F155" i="1"/>
  <c r="I87" i="1"/>
  <c r="I88" i="1"/>
  <c r="C90" i="1"/>
  <c r="D157" i="1" l="1"/>
  <c r="E157" i="1" s="1"/>
  <c r="G155" i="1" s="1"/>
  <c r="C157" i="1"/>
  <c r="C91" i="1"/>
  <c r="I155" i="1" l="1"/>
  <c r="J155" i="1" s="1"/>
  <c r="K155" i="1" s="1"/>
  <c r="A158" i="1" s="1"/>
  <c r="I89" i="1"/>
  <c r="C92" i="1"/>
  <c r="B158" i="1" l="1"/>
  <c r="D158" i="1" s="1"/>
  <c r="F156" i="1"/>
  <c r="I90" i="1"/>
  <c r="C93" i="1"/>
  <c r="C158" i="1" l="1"/>
  <c r="H156" i="1"/>
  <c r="I156" i="1" s="1"/>
  <c r="E158" i="1"/>
  <c r="G156" i="1" s="1"/>
  <c r="I91" i="1"/>
  <c r="C94" i="1"/>
  <c r="J156" i="1" l="1"/>
  <c r="K156" i="1" s="1"/>
  <c r="A159" i="1" s="1"/>
  <c r="I92" i="1"/>
  <c r="C95" i="1"/>
  <c r="B159" i="1" l="1"/>
  <c r="C159" i="1" s="1"/>
  <c r="F157" i="1"/>
  <c r="I93" i="1"/>
  <c r="C96" i="1"/>
  <c r="D159" i="1" l="1"/>
  <c r="E159" i="1" s="1"/>
  <c r="G157" i="1" s="1"/>
  <c r="H157" i="1"/>
  <c r="I94" i="1"/>
  <c r="C97" i="1"/>
  <c r="I157" i="1" l="1"/>
  <c r="J157" i="1" s="1"/>
  <c r="K157" i="1" s="1"/>
  <c r="A160" i="1" s="1"/>
  <c r="I95" i="1"/>
  <c r="C98" i="1"/>
  <c r="B160" i="1" l="1"/>
  <c r="H158" i="1" s="1"/>
  <c r="F158" i="1"/>
  <c r="I96" i="1"/>
  <c r="C99" i="1"/>
  <c r="C160" i="1" l="1"/>
  <c r="D160" i="1"/>
  <c r="E160" i="1" s="1"/>
  <c r="G158" i="1" s="1"/>
  <c r="I97" i="1"/>
  <c r="C100" i="1"/>
  <c r="I158" i="1" l="1"/>
  <c r="J158" i="1" s="1"/>
  <c r="K158" i="1" s="1"/>
  <c r="A161" i="1" s="1"/>
  <c r="I98" i="1"/>
  <c r="C101" i="1"/>
  <c r="B161" i="1" l="1"/>
  <c r="D161" i="1" s="1"/>
  <c r="F159" i="1"/>
  <c r="I99" i="1"/>
  <c r="C102" i="1"/>
  <c r="H159" i="1" l="1"/>
  <c r="I159" i="1" s="1"/>
  <c r="C161" i="1"/>
  <c r="E161" i="1"/>
  <c r="G159" i="1" s="1"/>
  <c r="I100" i="1"/>
  <c r="C103" i="1"/>
  <c r="J159" i="1" l="1"/>
  <c r="K159" i="1" s="1"/>
  <c r="A162" i="1" s="1"/>
  <c r="I101" i="1"/>
  <c r="C104" i="1"/>
  <c r="F160" i="1" l="1"/>
  <c r="B162" i="1"/>
  <c r="I102" i="1"/>
  <c r="E31" i="1"/>
  <c r="K15" i="1"/>
  <c r="H160" i="1" l="1"/>
  <c r="C162" i="1"/>
  <c r="D162" i="1"/>
  <c r="E162" i="1" s="1"/>
  <c r="G160" i="1" s="1"/>
  <c r="K27" i="1"/>
  <c r="K26" i="1" s="1"/>
  <c r="I160" i="1" l="1"/>
  <c r="J160" i="1"/>
  <c r="K160" i="1" s="1"/>
  <c r="A163" i="1" s="1"/>
  <c r="K28" i="1"/>
  <c r="K29" i="1"/>
  <c r="K30" i="1" l="1"/>
  <c r="E55" i="1" s="1"/>
  <c r="G53" i="1" s="1"/>
  <c r="K31" i="1"/>
  <c r="B163" i="1"/>
  <c r="H161" i="1" s="1"/>
  <c r="F161" i="1"/>
  <c r="E76" i="1"/>
  <c r="G74" i="1" s="1"/>
  <c r="E80" i="1"/>
  <c r="G78" i="1" s="1"/>
  <c r="E84" i="1"/>
  <c r="G82" i="1" s="1"/>
  <c r="E88" i="1"/>
  <c r="E77" i="1"/>
  <c r="G75" i="1" s="1"/>
  <c r="E81" i="1"/>
  <c r="G79" i="1" s="1"/>
  <c r="E85" i="1"/>
  <c r="G83" i="1" s="1"/>
  <c r="E89" i="1"/>
  <c r="G87" i="1" s="1"/>
  <c r="E79" i="1"/>
  <c r="G77" i="1" s="1"/>
  <c r="E83" i="1"/>
  <c r="G81" i="1" s="1"/>
  <c r="E78" i="1"/>
  <c r="G76" i="1" s="1"/>
  <c r="E82" i="1"/>
  <c r="G80" i="1" s="1"/>
  <c r="E86" i="1"/>
  <c r="G84" i="1" s="1"/>
  <c r="E90" i="1"/>
  <c r="G88" i="1" s="1"/>
  <c r="E87" i="1"/>
  <c r="E71" i="1"/>
  <c r="G69" i="1" s="1"/>
  <c r="E75" i="1"/>
  <c r="G73" i="1" s="1"/>
  <c r="E73" i="1"/>
  <c r="G71" i="1" s="1"/>
  <c r="E74" i="1"/>
  <c r="G72" i="1" s="1"/>
  <c r="E63" i="1"/>
  <c r="G61" i="1" s="1"/>
  <c r="E70" i="1"/>
  <c r="G68" i="1" s="1"/>
  <c r="E69" i="1"/>
  <c r="G67" i="1" s="1"/>
  <c r="E68" i="1"/>
  <c r="G66" i="1" s="1"/>
  <c r="E53" i="1"/>
  <c r="G51" i="1" s="1"/>
  <c r="E72" i="1"/>
  <c r="G70" i="1" s="1"/>
  <c r="E61" i="1" l="1"/>
  <c r="G59" i="1" s="1"/>
  <c r="E67" i="1"/>
  <c r="G65" i="1" s="1"/>
  <c r="E64" i="1"/>
  <c r="G62" i="1" s="1"/>
  <c r="E58" i="1"/>
  <c r="G56" i="1" s="1"/>
  <c r="E51" i="1"/>
  <c r="G49" i="1" s="1"/>
  <c r="J49" i="1" s="1"/>
  <c r="K49" i="1" s="1"/>
  <c r="E65" i="1"/>
  <c r="G63" i="1" s="1"/>
  <c r="E59" i="1"/>
  <c r="G57" i="1" s="1"/>
  <c r="E56" i="1"/>
  <c r="G54" i="1" s="1"/>
  <c r="E57" i="1"/>
  <c r="G55" i="1" s="1"/>
  <c r="E60" i="1"/>
  <c r="G58" i="1" s="1"/>
  <c r="E54" i="1"/>
  <c r="G52" i="1" s="1"/>
  <c r="E62" i="1"/>
  <c r="G60" i="1" s="1"/>
  <c r="E66" i="1"/>
  <c r="G64" i="1" s="1"/>
  <c r="E52" i="1"/>
  <c r="G50" i="1" s="1"/>
  <c r="A48" i="1"/>
  <c r="E92" i="1"/>
  <c r="G90" i="1" s="1"/>
  <c r="E97" i="1"/>
  <c r="G95" i="1" s="1"/>
  <c r="E93" i="1"/>
  <c r="G91" i="1" s="1"/>
  <c r="E94" i="1"/>
  <c r="G92" i="1" s="1"/>
  <c r="E95" i="1"/>
  <c r="G93" i="1" s="1"/>
  <c r="E96" i="1"/>
  <c r="G94" i="1" s="1"/>
  <c r="E91" i="1"/>
  <c r="G89" i="1" s="1"/>
  <c r="E42" i="1"/>
  <c r="C163" i="1"/>
  <c r="D163" i="1"/>
  <c r="E163" i="1" s="1"/>
  <c r="G161" i="1" s="1"/>
  <c r="J50" i="1" l="1"/>
  <c r="K50" i="1" s="1"/>
  <c r="J51" i="1" s="1"/>
  <c r="K51" i="1" s="1"/>
  <c r="J52" i="1" s="1"/>
  <c r="K52" i="1" s="1"/>
  <c r="J53" i="1" s="1"/>
  <c r="K53" i="1" s="1"/>
  <c r="I161" i="1"/>
  <c r="J161" i="1" s="1"/>
  <c r="K161" i="1" s="1"/>
  <c r="A164" i="1" s="1"/>
  <c r="B164" i="1" l="1"/>
  <c r="F162" i="1"/>
  <c r="J54" i="1"/>
  <c r="K54" i="1" s="1"/>
  <c r="D164" i="1" l="1"/>
  <c r="E164" i="1" s="1"/>
  <c r="G162" i="1" s="1"/>
  <c r="H162" i="1"/>
  <c r="C164" i="1"/>
  <c r="J55" i="1"/>
  <c r="K55" i="1" s="1"/>
  <c r="I162" i="1" l="1"/>
  <c r="J162" i="1" s="1"/>
  <c r="K162" i="1" s="1"/>
  <c r="A165" i="1" s="1"/>
  <c r="J56" i="1"/>
  <c r="K56" i="1" s="1"/>
  <c r="B165" i="1" l="1"/>
  <c r="D165" i="1" s="1"/>
  <c r="F163" i="1"/>
  <c r="J57" i="1"/>
  <c r="K57" i="1" s="1"/>
  <c r="C165" i="1" l="1"/>
  <c r="E165" i="1"/>
  <c r="G163" i="1" s="1"/>
  <c r="H163" i="1"/>
  <c r="I163" i="1" s="1"/>
  <c r="J58" i="1"/>
  <c r="K58" i="1" s="1"/>
  <c r="J163" i="1" l="1"/>
  <c r="K163" i="1" s="1"/>
  <c r="A166" i="1" s="1"/>
  <c r="J59" i="1"/>
  <c r="K59" i="1" s="1"/>
  <c r="B166" i="1" l="1"/>
  <c r="C166" i="1" s="1"/>
  <c r="F164" i="1"/>
  <c r="J60" i="1"/>
  <c r="K60" i="1" s="1"/>
  <c r="D166" i="1" l="1"/>
  <c r="E166" i="1" s="1"/>
  <c r="G164" i="1" s="1"/>
  <c r="H164" i="1"/>
  <c r="J61" i="1"/>
  <c r="K61" i="1" s="1"/>
  <c r="I164" i="1" l="1"/>
  <c r="J164" i="1" s="1"/>
  <c r="K164" i="1" s="1"/>
  <c r="A167" i="1" s="1"/>
  <c r="B167" i="1" s="1"/>
  <c r="C167" i="1" s="1"/>
  <c r="J62" i="1"/>
  <c r="K62" i="1" s="1"/>
  <c r="F165" i="1" l="1"/>
  <c r="D167" i="1"/>
  <c r="E167" i="1" s="1"/>
  <c r="G165" i="1" s="1"/>
  <c r="H165" i="1"/>
  <c r="J63" i="1"/>
  <c r="K63" i="1" s="1"/>
  <c r="I165" i="1" l="1"/>
  <c r="J165" i="1"/>
  <c r="K165" i="1" s="1"/>
  <c r="A168" i="1" s="1"/>
  <c r="J64" i="1"/>
  <c r="K64" i="1" s="1"/>
  <c r="B168" i="1" l="1"/>
  <c r="D168" i="1" s="1"/>
  <c r="F166" i="1"/>
  <c r="J65" i="1"/>
  <c r="K65" i="1" s="1"/>
  <c r="C168" i="1" l="1"/>
  <c r="E168" i="1"/>
  <c r="G166" i="1" s="1"/>
  <c r="H166" i="1"/>
  <c r="I166" i="1" s="1"/>
  <c r="J66" i="1"/>
  <c r="K66" i="1" s="1"/>
  <c r="J166" i="1" l="1"/>
  <c r="K166" i="1" s="1"/>
  <c r="A169" i="1" s="1"/>
  <c r="J67" i="1"/>
  <c r="K67" i="1" s="1"/>
  <c r="B169" i="1" l="1"/>
  <c r="H167" i="1" s="1"/>
  <c r="F167" i="1"/>
  <c r="J68" i="1"/>
  <c r="K68" i="1" s="1"/>
  <c r="C169" i="1" l="1"/>
  <c r="D169" i="1"/>
  <c r="E169" i="1" s="1"/>
  <c r="G167" i="1" s="1"/>
  <c r="J69" i="1"/>
  <c r="K69" i="1" s="1"/>
  <c r="I167" i="1" l="1"/>
  <c r="J167" i="1"/>
  <c r="K167" i="1" s="1"/>
  <c r="A170" i="1" s="1"/>
  <c r="J70" i="1"/>
  <c r="K70" i="1" s="1"/>
  <c r="B170" i="1" l="1"/>
  <c r="C170" i="1" s="1"/>
  <c r="F168" i="1"/>
  <c r="J71" i="1"/>
  <c r="K71" i="1" s="1"/>
  <c r="D170" i="1" l="1"/>
  <c r="E170" i="1" s="1"/>
  <c r="G168" i="1" s="1"/>
  <c r="H168" i="1"/>
  <c r="I168" i="1" s="1"/>
  <c r="J72" i="1"/>
  <c r="K72" i="1" s="1"/>
  <c r="J168" i="1" l="1"/>
  <c r="K168" i="1" s="1"/>
  <c r="A171" i="1" s="1"/>
  <c r="J73" i="1"/>
  <c r="K73" i="1" s="1"/>
  <c r="B171" i="1" l="1"/>
  <c r="C171" i="1" s="1"/>
  <c r="F169" i="1"/>
  <c r="J74" i="1"/>
  <c r="K74" i="1" s="1"/>
  <c r="D171" i="1" l="1"/>
  <c r="E171" i="1" s="1"/>
  <c r="G169" i="1" s="1"/>
  <c r="H169" i="1"/>
  <c r="I169" i="1" s="1"/>
  <c r="J75" i="1"/>
  <c r="K75" i="1" s="1"/>
  <c r="J169" i="1" l="1"/>
  <c r="K169" i="1" s="1"/>
  <c r="A172" i="1" s="1"/>
  <c r="J76" i="1"/>
  <c r="K76" i="1" s="1"/>
  <c r="B172" i="1" l="1"/>
  <c r="H170" i="1" s="1"/>
  <c r="F170" i="1"/>
  <c r="G170" i="1"/>
  <c r="J77" i="1"/>
  <c r="K77" i="1" s="1"/>
  <c r="E172" i="1" l="1"/>
  <c r="C172" i="1"/>
  <c r="D172" i="1"/>
  <c r="I170" i="1" s="1"/>
  <c r="J78" i="1"/>
  <c r="K78" i="1" s="1"/>
  <c r="J170" i="1" l="1"/>
  <c r="K170" i="1" s="1"/>
  <c r="A173" i="1" s="1"/>
  <c r="J79" i="1"/>
  <c r="K79" i="1" s="1"/>
  <c r="B173" i="1" l="1"/>
  <c r="H171" i="1" s="1"/>
  <c r="F171" i="1"/>
  <c r="G171" i="1"/>
  <c r="J80" i="1"/>
  <c r="K80" i="1" s="1"/>
  <c r="C173" i="1" l="1"/>
  <c r="D173" i="1"/>
  <c r="I171" i="1" s="1"/>
  <c r="E173" i="1"/>
  <c r="J81" i="1"/>
  <c r="K81" i="1" s="1"/>
  <c r="J171" i="1" l="1"/>
  <c r="K171" i="1" s="1"/>
  <c r="A174" i="1" s="1"/>
  <c r="B174" i="1" s="1"/>
  <c r="J82" i="1"/>
  <c r="K82" i="1" s="1"/>
  <c r="G172" i="1" l="1"/>
  <c r="F172" i="1"/>
  <c r="C174" i="1"/>
  <c r="E174" i="1"/>
  <c r="D174" i="1"/>
  <c r="H172" i="1"/>
  <c r="I172" i="1" s="1"/>
  <c r="J83" i="1"/>
  <c r="K83" i="1" s="1"/>
  <c r="J172" i="1" l="1"/>
  <c r="K172" i="1" s="1"/>
  <c r="A175" i="1" s="1"/>
  <c r="J84" i="1"/>
  <c r="K84" i="1" s="1"/>
  <c r="J85" i="1" l="1"/>
  <c r="K85" i="1" s="1"/>
  <c r="B175" i="1"/>
  <c r="C175" i="1" s="1"/>
  <c r="F173" i="1"/>
  <c r="G173" i="1"/>
  <c r="J86" i="1" l="1"/>
  <c r="K86" i="1" s="1"/>
  <c r="H173" i="1"/>
  <c r="D175" i="1"/>
  <c r="E175" i="1"/>
  <c r="I173" i="1" l="1"/>
  <c r="J173" i="1" s="1"/>
  <c r="K173" i="1" s="1"/>
  <c r="A176" i="1" s="1"/>
  <c r="J87" i="1"/>
  <c r="K87" i="1" s="1"/>
  <c r="G174" i="1" l="1"/>
  <c r="F174" i="1"/>
  <c r="B176" i="1"/>
  <c r="C176" i="1" s="1"/>
  <c r="J88" i="1"/>
  <c r="K88" i="1" s="1"/>
  <c r="D176" i="1" l="1"/>
  <c r="E176" i="1"/>
  <c r="H174" i="1"/>
  <c r="J89" i="1"/>
  <c r="K89" i="1" s="1"/>
  <c r="I174" i="1" l="1"/>
  <c r="J174" i="1" s="1"/>
  <c r="K174" i="1" s="1"/>
  <c r="A177" i="1" s="1"/>
  <c r="J90" i="1"/>
  <c r="K90" i="1" s="1"/>
  <c r="B177" i="1" l="1"/>
  <c r="H175" i="1" s="1"/>
  <c r="F175" i="1"/>
  <c r="G175" i="1"/>
  <c r="J91" i="1"/>
  <c r="K91" i="1" s="1"/>
  <c r="E177" i="1" l="1"/>
  <c r="D177" i="1"/>
  <c r="I175" i="1" s="1"/>
  <c r="C177" i="1"/>
  <c r="J92" i="1"/>
  <c r="K92" i="1" s="1"/>
  <c r="J175" i="1" l="1"/>
  <c r="K175" i="1" s="1"/>
  <c r="A178" i="1" s="1"/>
  <c r="G176" i="1" s="1"/>
  <c r="J93" i="1"/>
  <c r="K93" i="1" s="1"/>
  <c r="B178" i="1" l="1"/>
  <c r="D178" i="1" s="1"/>
  <c r="F176" i="1"/>
  <c r="J94" i="1"/>
  <c r="K94" i="1" s="1"/>
  <c r="E178" i="1" l="1"/>
  <c r="H176" i="1"/>
  <c r="I176" i="1" s="1"/>
  <c r="C178" i="1"/>
  <c r="J95" i="1"/>
  <c r="K95" i="1" s="1"/>
  <c r="J176" i="1" l="1"/>
  <c r="K176" i="1" s="1"/>
  <c r="A179" i="1" s="1"/>
  <c r="G177" i="1" s="1"/>
  <c r="J96" i="1"/>
  <c r="K96" i="1" s="1"/>
  <c r="F177" i="1" l="1"/>
  <c r="B179" i="1"/>
  <c r="H177" i="1" s="1"/>
  <c r="J97" i="1"/>
  <c r="K97" i="1" s="1"/>
  <c r="E179" i="1" l="1"/>
  <c r="D179" i="1"/>
  <c r="I177" i="1" s="1"/>
  <c r="C179" i="1"/>
  <c r="J98" i="1"/>
  <c r="K98" i="1" s="1"/>
  <c r="J177" i="1" l="1"/>
  <c r="K177" i="1" s="1"/>
  <c r="A180" i="1" s="1"/>
  <c r="F178" i="1" s="1"/>
  <c r="J99" i="1"/>
  <c r="K99" i="1" s="1"/>
  <c r="B180" i="1" l="1"/>
  <c r="H178" i="1" s="1"/>
  <c r="G178" i="1"/>
  <c r="J100" i="1"/>
  <c r="K100" i="1" s="1"/>
  <c r="D180" i="1" l="1"/>
  <c r="I178" i="1" s="1"/>
  <c r="E180" i="1"/>
  <c r="C180" i="1"/>
  <c r="J101" i="1"/>
  <c r="K101" i="1" s="1"/>
  <c r="J178" i="1" l="1"/>
  <c r="K178" i="1" s="1"/>
  <c r="A181" i="1" s="1"/>
  <c r="F179" i="1" s="1"/>
  <c r="J102" i="1"/>
  <c r="K102" i="1" s="1"/>
  <c r="G179" i="1" l="1"/>
  <c r="B181" i="1"/>
  <c r="E181" i="1" s="1"/>
  <c r="C181" i="1"/>
  <c r="D181" i="1"/>
  <c r="J103" i="1"/>
  <c r="K103" i="1" s="1"/>
  <c r="H179" i="1" l="1"/>
  <c r="I179" i="1" s="1"/>
  <c r="J179" i="1" s="1"/>
  <c r="K179" i="1" s="1"/>
  <c r="A182" i="1" s="1"/>
  <c r="J104" i="1"/>
  <c r="K104" i="1" s="1"/>
  <c r="F180" i="1" l="1"/>
  <c r="B182" i="1"/>
  <c r="D182" i="1" s="1"/>
  <c r="G180" i="1"/>
  <c r="J105" i="1"/>
  <c r="K105" i="1" s="1"/>
  <c r="H180" i="1" l="1"/>
  <c r="I180" i="1" s="1"/>
  <c r="C182" i="1"/>
  <c r="E182" i="1"/>
  <c r="J106" i="1"/>
  <c r="K106" i="1" s="1"/>
  <c r="J180" i="1" l="1"/>
  <c r="K180" i="1" s="1"/>
  <c r="A183" i="1" s="1"/>
  <c r="J107" i="1"/>
  <c r="K107" i="1" s="1"/>
  <c r="F181" i="1" l="1"/>
  <c r="B183" i="1"/>
  <c r="C183" i="1" s="1"/>
  <c r="G181" i="1"/>
  <c r="J108" i="1"/>
  <c r="K108" i="1" s="1"/>
  <c r="E183" i="1" l="1"/>
  <c r="D183" i="1"/>
  <c r="H181" i="1"/>
  <c r="J109" i="1"/>
  <c r="K109" i="1" s="1"/>
  <c r="I181" i="1" l="1"/>
  <c r="J181" i="1"/>
  <c r="K181" i="1" s="1"/>
  <c r="A184" i="1" s="1"/>
  <c r="J110" i="1"/>
  <c r="K110" i="1" s="1"/>
  <c r="F182" i="1" l="1"/>
  <c r="B184" i="1"/>
  <c r="G182" i="1"/>
  <c r="E184" i="1"/>
  <c r="J111" i="1"/>
  <c r="K111" i="1" s="1"/>
  <c r="D184" i="1" l="1"/>
  <c r="C184" i="1"/>
  <c r="H182" i="1"/>
  <c r="J112" i="1"/>
  <c r="K112" i="1" s="1"/>
  <c r="I182" i="1" l="1"/>
  <c r="J182" i="1"/>
  <c r="K182" i="1" s="1"/>
  <c r="A185" i="1" s="1"/>
  <c r="J113" i="1"/>
  <c r="K113" i="1" s="1"/>
  <c r="G183" i="1" l="1"/>
  <c r="F183" i="1"/>
  <c r="B185" i="1"/>
  <c r="H183" i="1" s="1"/>
  <c r="J114" i="1"/>
  <c r="K114" i="1" s="1"/>
  <c r="E185" i="1" l="1"/>
  <c r="C185" i="1"/>
  <c r="D185" i="1"/>
  <c r="I183" i="1" s="1"/>
  <c r="J183" i="1" s="1"/>
  <c r="K183" i="1" s="1"/>
  <c r="A186" i="1" s="1"/>
  <c r="G184" i="1" l="1"/>
  <c r="B186" i="1"/>
  <c r="F184" i="1"/>
  <c r="D186" i="1" l="1"/>
  <c r="E186" i="1"/>
  <c r="C186" i="1"/>
  <c r="H184" i="1"/>
  <c r="I184" i="1" l="1"/>
  <c r="J184" i="1" s="1"/>
  <c r="K184" i="1" s="1"/>
  <c r="A187" i="1" s="1"/>
  <c r="G185" i="1" l="1"/>
  <c r="F185" i="1"/>
  <c r="B187" i="1"/>
  <c r="D187" i="1" s="1"/>
  <c r="C187" i="1" l="1"/>
  <c r="H185" i="1"/>
  <c r="I185" i="1" s="1"/>
  <c r="E187" i="1"/>
  <c r="J185" i="1" l="1"/>
  <c r="K185" i="1" s="1"/>
  <c r="A188" i="1" s="1"/>
  <c r="F186" i="1" l="1"/>
  <c r="B188" i="1"/>
  <c r="E188" i="1" s="1"/>
  <c r="G186" i="1"/>
  <c r="C188" i="1" l="1"/>
  <c r="H186" i="1"/>
  <c r="D188" i="1"/>
  <c r="I186" i="1" l="1"/>
  <c r="J186" i="1" s="1"/>
  <c r="K186" i="1" s="1"/>
  <c r="A189" i="1" s="1"/>
  <c r="G187" i="1" s="1"/>
  <c r="F187" i="1" l="1"/>
  <c r="B189" i="1"/>
  <c r="H187" i="1" s="1"/>
  <c r="C189" i="1"/>
  <c r="E189" i="1"/>
  <c r="D189" i="1" l="1"/>
  <c r="I187" i="1" s="1"/>
  <c r="J187" i="1" s="1"/>
  <c r="K187" i="1" s="1"/>
  <c r="A190" i="1" s="1"/>
  <c r="F188" i="1" l="1"/>
  <c r="B190" i="1"/>
  <c r="D190" i="1" s="1"/>
  <c r="G188" i="1"/>
  <c r="E190" i="1" l="1"/>
  <c r="H188" i="1"/>
  <c r="I188" i="1" s="1"/>
  <c r="C190" i="1"/>
  <c r="J188" i="1" l="1"/>
  <c r="K188" i="1" s="1"/>
  <c r="A191" i="1" s="1"/>
  <c r="F189" i="1" l="1"/>
  <c r="B191" i="1"/>
  <c r="E191" i="1" s="1"/>
  <c r="G189" i="1"/>
  <c r="C191" i="1" l="1"/>
  <c r="D191" i="1"/>
  <c r="H189" i="1"/>
  <c r="I189" i="1" s="1"/>
  <c r="J189" i="1" s="1"/>
  <c r="K189" i="1" s="1"/>
  <c r="A192" i="1" s="1"/>
  <c r="G190" i="1" l="1"/>
  <c r="F190" i="1"/>
  <c r="B192" i="1"/>
  <c r="D192" i="1" s="1"/>
  <c r="H190" i="1" l="1"/>
  <c r="I190" i="1" s="1"/>
  <c r="C192" i="1"/>
  <c r="E192" i="1"/>
  <c r="J190" i="1" l="1"/>
  <c r="K190" i="1" s="1"/>
  <c r="A193" i="1" s="1"/>
  <c r="F191" i="1" l="1"/>
  <c r="B193" i="1"/>
  <c r="D193" i="1" s="1"/>
  <c r="G191" i="1"/>
  <c r="C193" i="1" l="1"/>
  <c r="H191" i="1"/>
  <c r="I191" i="1" s="1"/>
  <c r="E193" i="1"/>
  <c r="J191" i="1" l="1"/>
  <c r="K191" i="1" s="1"/>
  <c r="A194" i="1" s="1"/>
  <c r="B194" i="1" l="1"/>
  <c r="E194" i="1" s="1"/>
  <c r="G192" i="1"/>
  <c r="F192" i="1"/>
  <c r="C194" i="1" l="1"/>
  <c r="H192" i="1"/>
  <c r="D194" i="1"/>
  <c r="I192" i="1" l="1"/>
  <c r="J192" i="1"/>
  <c r="K192" i="1" s="1"/>
  <c r="A195" i="1" s="1"/>
  <c r="G193" i="1" l="1"/>
  <c r="F193" i="1"/>
  <c r="B195" i="1"/>
  <c r="C195" i="1" s="1"/>
  <c r="H193" i="1"/>
  <c r="D195" i="1"/>
  <c r="I193" i="1" l="1"/>
  <c r="E195" i="1"/>
  <c r="J193" i="1" l="1"/>
  <c r="K193" i="1" s="1"/>
  <c r="A196" i="1" s="1"/>
  <c r="G194" i="1" l="1"/>
  <c r="F194" i="1"/>
  <c r="B196" i="1"/>
  <c r="E196" i="1" s="1"/>
  <c r="H194" i="1" l="1"/>
  <c r="D196" i="1"/>
  <c r="C196" i="1"/>
  <c r="I194" i="1" l="1"/>
  <c r="J194" i="1" s="1"/>
  <c r="K194" i="1" s="1"/>
  <c r="A197" i="1" s="1"/>
  <c r="C197" i="1" s="1"/>
  <c r="K195" i="1" l="1"/>
  <c r="A198" i="1" s="1"/>
  <c r="F196" i="1" s="1"/>
  <c r="H195" i="1"/>
  <c r="B197" i="1"/>
  <c r="D197" i="1"/>
  <c r="G195" i="1"/>
  <c r="J195" i="1"/>
  <c r="F195" i="1"/>
  <c r="I195" i="1"/>
  <c r="E197" i="1"/>
  <c r="I196" i="1" l="1"/>
  <c r="G196" i="1"/>
  <c r="H196" i="1"/>
  <c r="C198" i="1"/>
  <c r="J196" i="1"/>
  <c r="E198" i="1"/>
  <c r="K196" i="1"/>
  <c r="A199" i="1" s="1"/>
  <c r="E199" i="1" s="1"/>
  <c r="D198" i="1"/>
  <c r="B198" i="1"/>
  <c r="I197" i="1" l="1"/>
  <c r="K197" i="1"/>
  <c r="A200" i="1" s="1"/>
  <c r="F198" i="1" s="1"/>
  <c r="G197" i="1"/>
  <c r="J197" i="1"/>
  <c r="F197" i="1"/>
  <c r="H197" i="1"/>
  <c r="C199" i="1"/>
  <c r="B199" i="1"/>
  <c r="D199" i="1"/>
  <c r="I198" i="1" l="1"/>
  <c r="C200" i="1"/>
  <c r="H198" i="1"/>
  <c r="K198" i="1"/>
  <c r="A201" i="1" s="1"/>
  <c r="J199" i="1" s="1"/>
  <c r="B200" i="1"/>
  <c r="D200" i="1"/>
  <c r="E200" i="1"/>
  <c r="G198" i="1"/>
  <c r="J198" i="1"/>
  <c r="I199" i="1" l="1"/>
  <c r="B201" i="1"/>
  <c r="H199" i="1"/>
  <c r="E201" i="1"/>
  <c r="C201" i="1"/>
  <c r="D201" i="1"/>
  <c r="G199" i="1"/>
  <c r="K199" i="1"/>
  <c r="A202" i="1" s="1"/>
  <c r="F200" i="1" s="1"/>
  <c r="F199" i="1"/>
  <c r="E202" i="1" l="1"/>
  <c r="D202" i="1"/>
  <c r="C202" i="1"/>
  <c r="H200" i="1"/>
  <c r="J200" i="1"/>
  <c r="K200" i="1"/>
  <c r="A203" i="1" s="1"/>
  <c r="B203" i="1" s="1"/>
  <c r="B202" i="1"/>
  <c r="I200" i="1"/>
  <c r="G200" i="1"/>
  <c r="E203" i="1" l="1"/>
  <c r="J201" i="1"/>
  <c r="D203" i="1"/>
  <c r="H201" i="1"/>
  <c r="F201" i="1"/>
  <c r="G201" i="1"/>
  <c r="C203" i="1"/>
  <c r="I201" i="1"/>
  <c r="K201" i="1"/>
  <c r="A204" i="1" s="1"/>
  <c r="J202" i="1" s="1"/>
  <c r="G202" i="1" l="1"/>
  <c r="B204" i="1"/>
  <c r="E204" i="1"/>
  <c r="I202" i="1"/>
  <c r="C204" i="1"/>
  <c r="H202" i="1"/>
  <c r="D204" i="1"/>
  <c r="F202" i="1"/>
  <c r="K202" i="1"/>
  <c r="A205" i="1" s="1"/>
  <c r="I203" i="1" s="1"/>
  <c r="E205" i="1" l="1"/>
  <c r="H203" i="1"/>
  <c r="C205" i="1"/>
  <c r="B205" i="1"/>
  <c r="K203" i="1"/>
  <c r="A206" i="1" s="1"/>
  <c r="D206" i="1" s="1"/>
  <c r="J203" i="1"/>
  <c r="D205" i="1"/>
  <c r="F203" i="1"/>
  <c r="G203" i="1"/>
  <c r="G204" i="1" l="1"/>
  <c r="K204" i="1"/>
  <c r="I204" i="1"/>
  <c r="H204" i="1"/>
  <c r="C206" i="1"/>
  <c r="F204" i="1"/>
  <c r="E206" i="1"/>
  <c r="B206" i="1"/>
  <c r="J20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Vertex42</author>
    <author>Vertex42.com Templates</author>
    <author>Jon</author>
  </authors>
  <commentList>
    <comment ref="J8" authorId="0" shapeId="0" xr:uid="{00000000-0006-0000-0000-000001000000}">
      <text>
        <r>
          <rPr>
            <b/>
            <sz val="9"/>
            <color indexed="81"/>
            <rFont val="Tahoma"/>
            <family val="2"/>
          </rPr>
          <t>Present Value of Lifestyle (Salary) at Retirement:</t>
        </r>
        <r>
          <rPr>
            <sz val="9"/>
            <color indexed="81"/>
            <rFont val="Tahoma"/>
            <family val="2"/>
          </rPr>
          <t xml:space="preserve">
This is where you estimate the lifestyle you want at retirement by specifying the salary that you think you could live on. Estimate how much you will want to live on at retirement based on today's value of money.</t>
        </r>
      </text>
    </comment>
    <comment ref="D9" authorId="1" shapeId="0" xr:uid="{BA88BCFA-E0F2-49D0-81F1-232819AB71D7}">
      <text>
        <r>
          <rPr>
            <b/>
            <sz val="9"/>
            <color indexed="81"/>
            <rFont val="Tahoma"/>
            <family val="2"/>
          </rPr>
          <t>Age at Retirement:</t>
        </r>
        <r>
          <rPr>
            <sz val="9"/>
            <color indexed="81"/>
            <rFont val="Tahoma"/>
            <family val="2"/>
          </rPr>
          <t xml:space="preserve">
This value must be greater than or equal to the Current Age.</t>
        </r>
      </text>
    </comment>
    <comment ref="J10" authorId="0" shapeId="0" xr:uid="{00000000-0006-0000-0000-000003000000}">
      <text>
        <r>
          <rPr>
            <b/>
            <sz val="9"/>
            <color indexed="81"/>
            <rFont val="Tahoma"/>
            <family val="2"/>
          </rPr>
          <t>Total Needed at Retirement:</t>
        </r>
        <r>
          <rPr>
            <sz val="9"/>
            <color indexed="81"/>
            <rFont val="Tahoma"/>
            <family val="2"/>
          </rPr>
          <t xml:space="preserve">
This is an annuity calculation that estimates the total nest egg that you need at retirement to last through the years of retirement based on the chosen lifestyle. Your current savings, future retirement income, and other assets are subtracted from this value to determine the additional savings needed.</t>
        </r>
      </text>
    </comment>
    <comment ref="D11" authorId="0" shapeId="0" xr:uid="{00000000-0006-0000-0000-000002000000}">
      <text>
        <r>
          <rPr>
            <b/>
            <sz val="9"/>
            <color indexed="81"/>
            <rFont val="Tahoma"/>
            <family val="2"/>
          </rPr>
          <t>Years to Pay Out (After Retirement):</t>
        </r>
        <r>
          <rPr>
            <sz val="9"/>
            <color indexed="81"/>
            <rFont val="Tahoma"/>
            <family val="2"/>
          </rPr>
          <t xml:space="preserve">
Enter the number of years that you want your retirement nest egg to last.</t>
        </r>
      </text>
    </comment>
    <comment ref="D12" authorId="0" shapeId="0" xr:uid="{00000000-0006-0000-0000-000004000000}">
      <text>
        <r>
          <rPr>
            <b/>
            <sz val="9"/>
            <color indexed="81"/>
            <rFont val="Tahoma"/>
            <family val="2"/>
          </rPr>
          <t>Years to Invest (Before Retirement):</t>
        </r>
        <r>
          <rPr>
            <sz val="9"/>
            <color indexed="81"/>
            <rFont val="Tahoma"/>
            <family val="2"/>
          </rPr>
          <t xml:space="preserve">
This calculator assumes that you will be contributing the same percentage of your salary each year until retirement. However, you can override this formula to enter a specific number of years to invest.</t>
        </r>
      </text>
    </comment>
    <comment ref="J13" authorId="0" shapeId="0" xr:uid="{00000000-0006-0000-0000-000005000000}">
      <text>
        <r>
          <rPr>
            <b/>
            <sz val="9"/>
            <color indexed="81"/>
            <rFont val="Tahoma"/>
            <family val="2"/>
          </rPr>
          <t>Current Retirement Savings:</t>
        </r>
        <r>
          <rPr>
            <sz val="9"/>
            <color indexed="81"/>
            <rFont val="Tahoma"/>
            <family val="2"/>
          </rPr>
          <t xml:space="preserve">
Enter the total amount currently in your retirement savings. This will affect how much more you will need to save to reach your goal.</t>
        </r>
      </text>
    </comment>
    <comment ref="J14" authorId="0" shapeId="0" xr:uid="{00000000-0006-0000-0000-000007000000}">
      <text>
        <r>
          <rPr>
            <b/>
            <sz val="9"/>
            <color indexed="81"/>
            <rFont val="Tahoma"/>
            <family val="2"/>
          </rPr>
          <t>Value of Current Savings at Retirement:</t>
        </r>
        <r>
          <rPr>
            <sz val="9"/>
            <color indexed="81"/>
            <rFont val="Tahoma"/>
            <family val="2"/>
          </rPr>
          <t xml:space="preserve">
This takes into account your Current Retirement Balance growing until retirement (based on the Return During Accumulation rate).</t>
        </r>
      </text>
    </comment>
    <comment ref="D15" authorId="0" shapeId="0" xr:uid="{00000000-0006-0000-0000-000006000000}">
      <text>
        <r>
          <rPr>
            <b/>
            <sz val="9"/>
            <color indexed="81"/>
            <rFont val="Tahoma"/>
            <family val="2"/>
          </rPr>
          <t>Return Before Retirement:</t>
        </r>
        <r>
          <rPr>
            <sz val="9"/>
            <color indexed="81"/>
            <rFont val="Tahoma"/>
            <family val="2"/>
          </rPr>
          <t xml:space="preserve">
This calculator lets you specify a different rate of return on your investments before and after retirement. Rates are impossible to predict, but usually your retirement nest egg is made up of lower risk investments as you approach retirement and during retirement. So, choosing a higher rate for the accumulation period and a lower rate after retirement provides a more realistic estimate than if you expected to get a high rate of return even during retirement.</t>
        </r>
      </text>
    </comment>
    <comment ref="D17" authorId="0" shapeId="0" xr:uid="{00000000-0006-0000-0000-000008000000}">
      <text>
        <r>
          <rPr>
            <b/>
            <sz val="9"/>
            <color indexed="81"/>
            <rFont val="Tahoma"/>
            <family val="2"/>
          </rPr>
          <t>Annual Rate of Inflation:</t>
        </r>
        <r>
          <rPr>
            <sz val="9"/>
            <color indexed="81"/>
            <rFont val="Tahoma"/>
            <family val="2"/>
          </rPr>
          <t xml:space="preserve">
This is another number that is impossible to predict accurately, but do your best to enter a reasonable rate. If you enter a rate that is too low, you will underestimate how much you should be saving.</t>
        </r>
      </text>
    </comment>
    <comment ref="J18" authorId="1" shapeId="0" xr:uid="{4260F78E-FFF5-4596-908F-06D2DD9D07A8}">
      <text>
        <r>
          <rPr>
            <b/>
            <sz val="9"/>
            <color indexed="81"/>
            <rFont val="Tahoma"/>
            <family val="2"/>
          </rPr>
          <t>Age When Income Begins:</t>
        </r>
        <r>
          <rPr>
            <sz val="9"/>
            <color indexed="81"/>
            <rFont val="Tahoma"/>
            <family val="2"/>
          </rPr>
          <t xml:space="preserve">
For this calculator, "Age When Income Begins" must be equal to or greater than the "Age at Retirement"</t>
        </r>
      </text>
    </comment>
    <comment ref="J21" authorId="1" shapeId="0" xr:uid="{F38423E1-D893-4AF5-9A42-6226223CC94D}">
      <text>
        <r>
          <rPr>
            <b/>
            <sz val="9"/>
            <color indexed="81"/>
            <rFont val="Tahoma"/>
            <family val="2"/>
          </rPr>
          <t>Years of Retirement Income:</t>
        </r>
        <r>
          <rPr>
            <sz val="9"/>
            <color indexed="81"/>
            <rFont val="Tahoma"/>
            <family val="2"/>
          </rPr>
          <t xml:space="preserve">
The calculator assumes that after retirement income begins, it continues until the final year of payout. If the retirement income payouts should end sooner than that, you can overwrite the formula in this cell.</t>
        </r>
      </text>
    </comment>
    <comment ref="J22" authorId="0" shapeId="0" xr:uid="{00000000-0006-0000-0000-000009000000}">
      <text>
        <r>
          <rPr>
            <b/>
            <sz val="9"/>
            <color indexed="81"/>
            <rFont val="Tahoma"/>
            <family val="2"/>
          </rPr>
          <t>Lump-Sum Value of Future Retirement Income at Retirement:</t>
        </r>
        <r>
          <rPr>
            <sz val="9"/>
            <color indexed="81"/>
            <rFont val="Tahoma"/>
            <family val="2"/>
          </rPr>
          <t xml:space="preserve">
This is a present-value calculation for the future retirement income. It is subtracted from the Total Needed at Retirement to determine the Additional Savings Required.</t>
        </r>
      </text>
    </comment>
    <comment ref="D25" authorId="0" shapeId="0" xr:uid="{00000000-0006-0000-0000-00000A000000}">
      <text>
        <r>
          <rPr>
            <b/>
            <sz val="9"/>
            <color indexed="81"/>
            <rFont val="Tahoma"/>
            <family val="2"/>
          </rPr>
          <t>Percent of Salary to Contribute to Savings:</t>
        </r>
        <r>
          <rPr>
            <sz val="9"/>
            <color indexed="81"/>
            <rFont val="Tahoma"/>
            <family val="2"/>
          </rPr>
          <t xml:space="preserve">
The amount that you will save is based on a percentage of your salary. That way, as your salary increases, the amount that you will save will also increase.
</t>
        </r>
        <r>
          <rPr>
            <b/>
            <sz val="9"/>
            <color indexed="81"/>
            <rFont val="Tahoma"/>
            <family val="2"/>
          </rPr>
          <t xml:space="preserve">Note: </t>
        </r>
        <r>
          <rPr>
            <sz val="9"/>
            <color indexed="81"/>
            <rFont val="Tahoma"/>
            <family val="2"/>
          </rPr>
          <t>Your annual savings contributions in this spreadsheet are not limited to just 401k contributions. However, if you specify an Employer Match, the spreadsheet assumes you are first contributing to a 401k, and then any savings beyond the 401k limits are placed in other accounts.</t>
        </r>
      </text>
    </comment>
    <comment ref="J25" authorId="0" shapeId="0" xr:uid="{00000000-0006-0000-0000-00000D000000}">
      <text>
        <r>
          <rPr>
            <b/>
            <sz val="9"/>
            <color indexed="81"/>
            <rFont val="Tahoma"/>
            <family val="2"/>
          </rPr>
          <t>Other Assets:</t>
        </r>
        <r>
          <rPr>
            <sz val="9"/>
            <color indexed="81"/>
            <rFont val="Tahoma"/>
            <family val="2"/>
          </rPr>
          <t xml:space="preserve">
You can include the value of other assets such as a lump-sum pension or assets that can be sold to help fund your retirement. The value entered here should be the value at the time of retirement. For the sake of estimation and calculation, this amount is included as an Annual Contribution during the last year before you retire.</t>
        </r>
      </text>
    </comment>
    <comment ref="D26" authorId="0" shapeId="0" xr:uid="{00000000-0006-0000-0000-00000B000000}">
      <text>
        <r>
          <rPr>
            <b/>
            <sz val="9"/>
            <color indexed="81"/>
            <rFont val="Tahoma"/>
            <family val="2"/>
          </rPr>
          <t>Employer 401(k) Match:</t>
        </r>
        <r>
          <rPr>
            <sz val="9"/>
            <color indexed="81"/>
            <rFont val="Tahoma"/>
            <family val="2"/>
          </rPr>
          <t xml:space="preserve">
This is the amount your employer contributes, specified as a percentage of your contribution.
For example, if you contributed $1000 and your company matches 50%, then your company would contribute $500.</t>
        </r>
      </text>
    </comment>
    <comment ref="D27" authorId="0" shapeId="0" xr:uid="{00000000-0006-0000-0000-00000C000000}">
      <text>
        <r>
          <rPr>
            <b/>
            <sz val="9"/>
            <color indexed="81"/>
            <rFont val="Tahoma"/>
            <family val="2"/>
          </rPr>
          <t>Maximum Employee % Contribution (for Employer Match)</t>
        </r>
        <r>
          <rPr>
            <sz val="9"/>
            <color indexed="81"/>
            <rFont val="Tahoma"/>
            <family val="2"/>
          </rPr>
          <t xml:space="preserve">
There is usually a limit to how much of your contribution your company will match. The maximum employer contribution is often stated as "50% match up to 6% of your salary." For this spreadsheet, this should be interpreted as "</t>
        </r>
        <r>
          <rPr>
            <b/>
            <sz val="9"/>
            <color indexed="81"/>
            <rFont val="Tahoma"/>
            <family val="2"/>
          </rPr>
          <t>50% match up to an employee contribution of 6%.</t>
        </r>
        <r>
          <rPr>
            <sz val="9"/>
            <color indexed="81"/>
            <rFont val="Tahoma"/>
            <family val="2"/>
          </rPr>
          <t>" This means that the company stops matching the rest of your contribution if you contribute more than 6% of your salary.</t>
        </r>
      </text>
    </comment>
    <comment ref="J27" authorId="1" shapeId="0" xr:uid="{816E0335-40CC-4B47-A426-3A76BA25CBEC}">
      <text>
        <r>
          <rPr>
            <b/>
            <sz val="9"/>
            <color indexed="81"/>
            <rFont val="Tahoma"/>
            <family val="2"/>
          </rPr>
          <t>Shortfall:</t>
        </r>
        <r>
          <rPr>
            <sz val="9"/>
            <color indexed="81"/>
            <rFont val="Tahoma"/>
            <family val="2"/>
          </rPr>
          <t xml:space="preserve">
If the value for the shortfall is a negative number, that means there is actually a surplus instead of a shortfall. Be careful how you interpret the results. Some results might not apply in the case of a negative shortfall.</t>
        </r>
      </text>
    </comment>
    <comment ref="J29" authorId="2" shapeId="0" xr:uid="{00000000-0006-0000-0000-00000F000000}">
      <text>
        <r>
          <rPr>
            <b/>
            <sz val="9"/>
            <color indexed="81"/>
            <rFont val="Tahoma"/>
            <family val="2"/>
          </rPr>
          <t>Additional Annual Contribution:</t>
        </r>
        <r>
          <rPr>
            <sz val="9"/>
            <color indexed="81"/>
            <rFont val="Tahoma"/>
            <family val="2"/>
          </rPr>
          <t xml:space="preserve">
This is the amount that needs to be added to the "Current Annual Contributions" to meet the retirement goal. It is calculated based on the amount you will need to have saved, the rate or return during the accumulation period, the number of years you will be accumulating, and the percentage increase in your salary.
</t>
        </r>
        <r>
          <rPr>
            <b/>
            <sz val="9"/>
            <color indexed="81"/>
            <rFont val="Tahoma"/>
            <family val="2"/>
          </rPr>
          <t>Note:</t>
        </r>
        <r>
          <rPr>
            <sz val="9"/>
            <color indexed="81"/>
            <rFont val="Tahoma"/>
            <family val="2"/>
          </rPr>
          <t xml:space="preserve"> If this value is (negative) it would mean less needs to be saved, but be careful how you interpret the results.</t>
        </r>
      </text>
    </comment>
    <comment ref="D30" authorId="0" shapeId="0" xr:uid="{00000000-0006-0000-0000-00000E000000}">
      <text>
        <r>
          <rPr>
            <b/>
            <sz val="9"/>
            <color indexed="81"/>
            <rFont val="Tahoma"/>
            <family val="2"/>
          </rPr>
          <t>Current Annual Contributions:</t>
        </r>
        <r>
          <rPr>
            <sz val="9"/>
            <color indexed="81"/>
            <rFont val="Tahoma"/>
            <family val="2"/>
          </rPr>
          <t xml:space="preserve">
This amount includes both the % of your salary that you are saving as well as the employer match. This amount grows with your increase in salary. That is taken into account in the calculation of the Value of Current Contributions at Retirement.</t>
        </r>
      </text>
    </comment>
    <comment ref="J30" authorId="2" shapeId="0" xr:uid="{00000000-0006-0000-0000-000010000000}">
      <text>
        <r>
          <rPr>
            <b/>
            <sz val="9"/>
            <color indexed="81"/>
            <rFont val="Tahoma"/>
            <family val="2"/>
          </rPr>
          <t>% of Salary to Contribute:</t>
        </r>
        <r>
          <rPr>
            <sz val="9"/>
            <color indexed="81"/>
            <rFont val="Tahoma"/>
            <family val="2"/>
          </rPr>
          <t xml:space="preserve">
Taking into account your employer match, this is the percentage of your salary that you would need to contribute to savings to reach the retirement goal.</t>
        </r>
      </text>
    </comment>
    <comment ref="J31" authorId="2" shapeId="0" xr:uid="{F5DB4EBC-AD04-4401-B651-B714C98EA90B}">
      <text>
        <r>
          <rPr>
            <b/>
            <sz val="9"/>
            <color indexed="81"/>
            <rFont val="Tahoma"/>
            <family val="2"/>
          </rPr>
          <t>Additional Annual Contribution:</t>
        </r>
        <r>
          <rPr>
            <sz val="9"/>
            <color indexed="81"/>
            <rFont val="Tahoma"/>
            <family val="2"/>
          </rPr>
          <t xml:space="preserve">
This is the amount that needs to be added to the "Current Annual Contributions" to meet the retirement goal. It is calculated based on the amount you will need to have saved, the rate or return during the accumulation period, the number of years you will be accumulating, and the percentage increase in your salary.
</t>
        </r>
        <r>
          <rPr>
            <b/>
            <sz val="9"/>
            <color indexed="81"/>
            <rFont val="Tahoma"/>
            <family val="2"/>
          </rPr>
          <t>Note:</t>
        </r>
        <r>
          <rPr>
            <sz val="9"/>
            <color indexed="81"/>
            <rFont val="Tahoma"/>
            <family val="2"/>
          </rPr>
          <t xml:space="preserve"> If this value is (negative) it would mean less needs to be saved, but be careful how you interpret the results.</t>
        </r>
      </text>
    </comment>
    <comment ref="D44" authorId="2" shapeId="0" xr:uid="{00000000-0006-0000-0000-000011000000}">
      <text>
        <r>
          <rPr>
            <b/>
            <sz val="8"/>
            <color indexed="81"/>
            <rFont val="Tahoma"/>
            <family val="2"/>
          </rPr>
          <t>Payments Per Year:</t>
        </r>
        <r>
          <rPr>
            <sz val="8"/>
            <color indexed="81"/>
            <rFont val="Tahoma"/>
            <family val="2"/>
          </rPr>
          <t xml:space="preserve">
The number of contributions per year. This would normally be based on how often you receive your paycheck.
12 = Monthly
24 = Semi-Monthly (twice per month)
26 = Bi-Weekly (once every two weeks)
52 = Weekly
13 = Every 4 weeks
4 = Quarterly (four times per year)
2 = Semi-annually
1 = Annually</t>
        </r>
      </text>
    </comment>
    <comment ref="D45" authorId="2" shapeId="0" xr:uid="{00000000-0006-0000-0000-000012000000}">
      <text>
        <r>
          <rPr>
            <b/>
            <sz val="8"/>
            <color indexed="81"/>
            <rFont val="Tahoma"/>
            <family val="2"/>
          </rPr>
          <t>Withdrawal Payment Type:</t>
        </r>
        <r>
          <rPr>
            <sz val="8"/>
            <color indexed="81"/>
            <rFont val="Tahoma"/>
            <family val="2"/>
          </rPr>
          <t xml:space="preserve">
0 : End of Period
1 : Beginning of Period</t>
        </r>
      </text>
    </comment>
    <comment ref="G47" authorId="2" shapeId="0" xr:uid="{00000000-0006-0000-0000-000016000000}">
      <text>
        <r>
          <rPr>
            <b/>
            <sz val="9"/>
            <color indexed="81"/>
            <rFont val="Tahoma"/>
            <family val="2"/>
          </rPr>
          <t>Annual Employer Match</t>
        </r>
        <r>
          <rPr>
            <sz val="9"/>
            <color indexed="81"/>
            <rFont val="Tahoma"/>
            <family val="2"/>
          </rPr>
          <t xml:space="preserve">
The amount your employer matches during the year.</t>
        </r>
      </text>
    </comment>
    <comment ref="H47" authorId="2" shapeId="0" xr:uid="{00000000-0006-0000-0000-000017000000}">
      <text>
        <r>
          <rPr>
            <b/>
            <sz val="9"/>
            <color indexed="81"/>
            <rFont val="Tahoma"/>
            <family val="2"/>
          </rPr>
          <t>Retirement Income:</t>
        </r>
        <r>
          <rPr>
            <sz val="9"/>
            <color indexed="81"/>
            <rFont val="Tahoma"/>
            <family val="2"/>
          </rPr>
          <t xml:space="preserve">
This column, if it is not zero, reduces the amount of the payout. In this calculator, retirement income is NOT added to the Balance and Interest is NOT earned on retirement income.</t>
        </r>
      </text>
    </comment>
    <comment ref="I47" authorId="2" shapeId="0" xr:uid="{00000000-0006-0000-0000-000018000000}">
      <text>
        <r>
          <rPr>
            <b/>
            <sz val="9"/>
            <color indexed="81"/>
            <rFont val="Tahoma"/>
            <family val="2"/>
          </rPr>
          <t>Payout (Withdrawal):</t>
        </r>
        <r>
          <rPr>
            <sz val="9"/>
            <color indexed="81"/>
            <rFont val="Tahoma"/>
            <family val="2"/>
          </rPr>
          <t xml:space="preserve">
This is the amount paid or withdrawn at the end of the specified period. If you have entered an Annual Inflation Rate, you will notice that the Payout increases each period.</t>
        </r>
      </text>
    </comment>
    <comment ref="J47" authorId="2" shapeId="0" xr:uid="{00000000-0006-0000-0000-000019000000}">
      <text>
        <r>
          <rPr>
            <b/>
            <i/>
            <sz val="9"/>
            <color indexed="81"/>
            <rFont val="Tahoma"/>
            <family val="2"/>
          </rPr>
          <t>Estimated</t>
        </r>
        <r>
          <rPr>
            <b/>
            <sz val="9"/>
            <color indexed="81"/>
            <rFont val="Tahoma"/>
            <family val="2"/>
          </rPr>
          <t xml:space="preserve"> Annual Investment Return:</t>
        </r>
        <r>
          <rPr>
            <sz val="9"/>
            <color indexed="81"/>
            <rFont val="Tahoma"/>
            <family val="2"/>
          </rPr>
          <t xml:space="preserve">
This is an </t>
        </r>
        <r>
          <rPr>
            <i/>
            <sz val="9"/>
            <color indexed="81"/>
            <rFont val="Tahoma"/>
            <family val="2"/>
          </rPr>
          <t>estimate</t>
        </r>
        <r>
          <rPr>
            <sz val="9"/>
            <color indexed="81"/>
            <rFont val="Tahoma"/>
            <family val="2"/>
          </rPr>
          <t xml:space="preserve"> of the increase in your retirement account based on the rates of return you have assumed before and after retirement. Actual returns are impossible to predict accurately.
This is calculated using the FV formula to account for the fact that the contributions are made in equal payments each time you receive your paycheck (the effect of compounding is fairly minimal compared to fluctuations in actual rates of return).</t>
        </r>
      </text>
    </comment>
    <comment ref="K47" authorId="2" shapeId="0" xr:uid="{00000000-0006-0000-0000-00001A000000}">
      <text>
        <r>
          <rPr>
            <sz val="8"/>
            <color indexed="81"/>
            <rFont val="Tahoma"/>
            <family val="2"/>
          </rPr>
          <t xml:space="preserve">Balance at the </t>
        </r>
        <r>
          <rPr>
            <b/>
            <sz val="8"/>
            <color indexed="81"/>
            <rFont val="Tahoma"/>
            <family val="2"/>
          </rPr>
          <t>end of the year</t>
        </r>
        <r>
          <rPr>
            <sz val="8"/>
            <color indexed="81"/>
            <rFont val="Tahoma"/>
            <family val="2"/>
          </rPr>
          <t>.</t>
        </r>
      </text>
    </comment>
    <comment ref="C49" authorId="2" shapeId="0" xr:uid="{00000000-0006-0000-0000-000013000000}">
      <text>
        <r>
          <rPr>
            <b/>
            <sz val="9"/>
            <color indexed="81"/>
            <rFont val="Tahoma"/>
            <family val="2"/>
          </rPr>
          <t>Expected Annual Return:</t>
        </r>
        <r>
          <rPr>
            <sz val="9"/>
            <color indexed="81"/>
            <rFont val="Tahoma"/>
            <family val="2"/>
          </rPr>
          <t xml:space="preserve">
To vary the rate over time, delete the formulas in this column and either add your own formulas or enter the rates manually.
</t>
        </r>
        <r>
          <rPr>
            <b/>
            <sz val="9"/>
            <color indexed="81"/>
            <rFont val="Tahoma"/>
            <family val="2"/>
          </rPr>
          <t>Random Rate Formula:</t>
        </r>
        <r>
          <rPr>
            <sz val="9"/>
            <color indexed="81"/>
            <rFont val="Tahoma"/>
            <family val="2"/>
          </rPr>
          <t xml:space="preserve">
Random rate between -2% and 10%
  =min+RAND()*(max-min)
  where min=-0.02 and max=0.10
</t>
        </r>
      </text>
    </comment>
    <comment ref="D49" authorId="2" shapeId="0" xr:uid="{00000000-0006-0000-0000-000014000000}">
      <text>
        <r>
          <rPr>
            <b/>
            <sz val="9"/>
            <color indexed="81"/>
            <rFont val="Tahoma"/>
            <family val="2"/>
          </rPr>
          <t>Salary Basis:</t>
        </r>
        <r>
          <rPr>
            <sz val="9"/>
            <color indexed="81"/>
            <rFont val="Tahoma"/>
            <family val="2"/>
          </rPr>
          <t xml:space="preserve">
The contributions for each year are based on the salary in this column. This also represents what you want to live on during retirement. The increase in Salary basis after retirement is based on inflation.</t>
        </r>
      </text>
    </comment>
    <comment ref="E49" authorId="2" shapeId="0" xr:uid="{00000000-0006-0000-0000-000015000000}">
      <text>
        <r>
          <rPr>
            <b/>
            <sz val="9"/>
            <color indexed="81"/>
            <rFont val="Tahoma"/>
            <family val="2"/>
          </rPr>
          <t>Your Annual Contribution:</t>
        </r>
        <r>
          <rPr>
            <sz val="9"/>
            <color indexed="81"/>
            <rFont val="Tahoma"/>
            <family val="2"/>
          </rPr>
          <t xml:space="preserve">
This calculator does not take into account whether your contributions are pre-tax or after tax (i.e. a Roth 401k). At retirement, the amount you've entered for "Value of Other Assets at Retirement" is included in the column.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Vertex42</author>
    <author>Vertex42.com Templates</author>
    <author>Jon</author>
  </authors>
  <commentList>
    <comment ref="J8" authorId="0" shapeId="0" xr:uid="{1FEA0007-F59D-45FD-BD5E-094EC6CD001F}">
      <text>
        <r>
          <rPr>
            <b/>
            <sz val="9"/>
            <color indexed="81"/>
            <rFont val="Tahoma"/>
            <family val="2"/>
          </rPr>
          <t>Present Value of Lifestyle (Salary) at Retirement:</t>
        </r>
        <r>
          <rPr>
            <sz val="9"/>
            <color indexed="81"/>
            <rFont val="Tahoma"/>
            <family val="2"/>
          </rPr>
          <t xml:space="preserve">
This is where you estimate the lifestyle you want at retirement by specifying the salary that you think you could live on. Estimate how much you will want to live on at retirement based on today's value of money.</t>
        </r>
      </text>
    </comment>
    <comment ref="D9" authorId="1" shapeId="0" xr:uid="{F53B19ED-AA55-4C99-8095-AB359AE7334D}">
      <text>
        <r>
          <rPr>
            <b/>
            <sz val="9"/>
            <color indexed="81"/>
            <rFont val="Tahoma"/>
            <family val="2"/>
          </rPr>
          <t>Age at Retirement:</t>
        </r>
        <r>
          <rPr>
            <sz val="9"/>
            <color indexed="81"/>
            <rFont val="Tahoma"/>
            <family val="2"/>
          </rPr>
          <t xml:space="preserve">
This value must be greater than or equal to the Current Age.</t>
        </r>
      </text>
    </comment>
    <comment ref="D10" authorId="0" shapeId="0" xr:uid="{F4DEDFCF-4716-48A2-A5B7-308616515897}">
      <text>
        <r>
          <rPr>
            <b/>
            <sz val="9"/>
            <color indexed="81"/>
            <rFont val="Tahoma"/>
            <family val="2"/>
          </rPr>
          <t>Years to Pay Out (After Retirement):</t>
        </r>
        <r>
          <rPr>
            <sz val="9"/>
            <color indexed="81"/>
            <rFont val="Tahoma"/>
            <family val="2"/>
          </rPr>
          <t xml:space="preserve">
Enter the number of years that you want your retirement nest egg to last.</t>
        </r>
      </text>
    </comment>
    <comment ref="J10" authorId="0" shapeId="0" xr:uid="{89EFC951-2F40-43AE-BC10-8A00357052E1}">
      <text>
        <r>
          <rPr>
            <b/>
            <sz val="9"/>
            <color indexed="81"/>
            <rFont val="Tahoma"/>
            <family val="2"/>
          </rPr>
          <t>Total Needed at Retirement:</t>
        </r>
        <r>
          <rPr>
            <sz val="9"/>
            <color indexed="81"/>
            <rFont val="Tahoma"/>
            <family val="2"/>
          </rPr>
          <t xml:space="preserve">
This is an annuity calculation that estimates the total nest egg that you need at retirement to last through the years of retirement based on the chosen lifestyle. Your current savings, future retirement income, and other assets are subtracted from this value to determine the additional savings needed.</t>
        </r>
      </text>
    </comment>
    <comment ref="D11" authorId="0" shapeId="0" xr:uid="{D8F232B8-53A1-448B-B4F1-F53679201206}">
      <text>
        <r>
          <rPr>
            <b/>
            <sz val="9"/>
            <color indexed="81"/>
            <rFont val="Tahoma"/>
            <family val="2"/>
          </rPr>
          <t>Years to Invest (Before Retirement):</t>
        </r>
        <r>
          <rPr>
            <sz val="9"/>
            <color indexed="81"/>
            <rFont val="Tahoma"/>
            <family val="2"/>
          </rPr>
          <t xml:space="preserve">
This calculator assumes that you will be contributing the same percentage of your salary each year until retirement. However, you can override this formula to enter a specific number of years to invest.</t>
        </r>
      </text>
    </comment>
    <comment ref="J13" authorId="0" shapeId="0" xr:uid="{950041B3-5FD3-45F4-B3B2-609FCE3987EE}">
      <text>
        <r>
          <rPr>
            <b/>
            <sz val="9"/>
            <color indexed="81"/>
            <rFont val="Tahoma"/>
            <family val="2"/>
          </rPr>
          <t>Current Retirement Savings:</t>
        </r>
        <r>
          <rPr>
            <sz val="9"/>
            <color indexed="81"/>
            <rFont val="Tahoma"/>
            <family val="2"/>
          </rPr>
          <t xml:space="preserve">
Enter the total amount currently in your retirement savings. This will affect how much more you will need to save to reach your goal.</t>
        </r>
      </text>
    </comment>
    <comment ref="D14" authorId="0" shapeId="0" xr:uid="{0EF90B48-C817-42A5-9D47-1CB12CE86D5E}">
      <text>
        <r>
          <rPr>
            <b/>
            <sz val="9"/>
            <color indexed="81"/>
            <rFont val="Tahoma"/>
            <family val="2"/>
          </rPr>
          <t>Return Before Retirement:</t>
        </r>
        <r>
          <rPr>
            <sz val="9"/>
            <color indexed="81"/>
            <rFont val="Tahoma"/>
            <family val="2"/>
          </rPr>
          <t xml:space="preserve">
This calculator lets you specify a different rate of return on your investments before and after retirement. Rates are impossible to predict, but usually your retirement nest egg is made up of lower risk investments as you approach retirement and during retirement. So, choosing a higher rate for the accumulation period and a lower rate after retirement provides a more realistic estimate than if you expected to get a high rate of return even during retirement.</t>
        </r>
      </text>
    </comment>
    <comment ref="J14" authorId="0" shapeId="0" xr:uid="{B4A97671-35AC-4463-90C4-F2BB65C532BC}">
      <text>
        <r>
          <rPr>
            <b/>
            <sz val="9"/>
            <color indexed="81"/>
            <rFont val="Tahoma"/>
            <family val="2"/>
          </rPr>
          <t>Value of Current Savings at Retirement:</t>
        </r>
        <r>
          <rPr>
            <sz val="9"/>
            <color indexed="81"/>
            <rFont val="Tahoma"/>
            <family val="2"/>
          </rPr>
          <t xml:space="preserve">
This takes into account your Current Retirement Balance growing until retirement (based on the Return During Accumulation rate).</t>
        </r>
      </text>
    </comment>
    <comment ref="D16" authorId="0" shapeId="0" xr:uid="{537950FC-4A1B-4F4B-974B-2194BC983F55}">
      <text>
        <r>
          <rPr>
            <b/>
            <sz val="9"/>
            <color indexed="81"/>
            <rFont val="Tahoma"/>
            <family val="2"/>
          </rPr>
          <t>Annual Rate of Inflation:</t>
        </r>
        <r>
          <rPr>
            <sz val="9"/>
            <color indexed="81"/>
            <rFont val="Tahoma"/>
            <family val="2"/>
          </rPr>
          <t xml:space="preserve">
This is another number that is impossible to predict accurately, but do your best to enter a reasonable rate. If you enter a rate that is too low, you will underestimate how much you should be saving.</t>
        </r>
      </text>
    </comment>
    <comment ref="J18" authorId="1" shapeId="0" xr:uid="{774A5AE9-31F5-489C-B9FD-C040BAF02BAE}">
      <text>
        <r>
          <rPr>
            <b/>
            <sz val="9"/>
            <color indexed="81"/>
            <rFont val="Tahoma"/>
            <family val="2"/>
          </rPr>
          <t>Age When Income Begins:</t>
        </r>
        <r>
          <rPr>
            <sz val="9"/>
            <color indexed="81"/>
            <rFont val="Tahoma"/>
            <family val="2"/>
          </rPr>
          <t xml:space="preserve">
For this calculator, "Age When Income Begins" must be equal to or greater than the "Age at Retirement"</t>
        </r>
      </text>
    </comment>
    <comment ref="J21" authorId="1" shapeId="0" xr:uid="{8BF47B9A-4DE4-4A8D-8563-F3635EBC88FB}">
      <text>
        <r>
          <rPr>
            <b/>
            <sz val="9"/>
            <color indexed="81"/>
            <rFont val="Tahoma"/>
            <family val="2"/>
          </rPr>
          <t>Years of Retirement Income:</t>
        </r>
        <r>
          <rPr>
            <sz val="9"/>
            <color indexed="81"/>
            <rFont val="Tahoma"/>
            <family val="2"/>
          </rPr>
          <t xml:space="preserve">
The calculator assumes that after retirement income begins, it continues until the final year of payout. If the retirement income payouts should end sooner than that, you can overwrite the formula in this cell.</t>
        </r>
      </text>
    </comment>
    <comment ref="J22" authorId="0" shapeId="0" xr:uid="{43BADCAE-B979-447D-9D97-3802B9B08B0F}">
      <text>
        <r>
          <rPr>
            <b/>
            <sz val="9"/>
            <color indexed="81"/>
            <rFont val="Tahoma"/>
            <family val="2"/>
          </rPr>
          <t>Lump-Sum Value of Future Retirement Income at Retirement:</t>
        </r>
        <r>
          <rPr>
            <sz val="9"/>
            <color indexed="81"/>
            <rFont val="Tahoma"/>
            <family val="2"/>
          </rPr>
          <t xml:space="preserve">
This is a present-value calculation for the future retirement income. It is subtracted from the Total Needed at Retirement to determine the Additional Savings Required.</t>
        </r>
      </text>
    </comment>
    <comment ref="D24" authorId="0" shapeId="0" xr:uid="{77055A1C-35D3-4AB0-AF9B-6CC2DC2FB22E}">
      <text>
        <r>
          <rPr>
            <b/>
            <sz val="9"/>
            <color indexed="81"/>
            <rFont val="Tahoma"/>
            <family val="2"/>
          </rPr>
          <t>Percent of Salary to Contribute to Savings:</t>
        </r>
        <r>
          <rPr>
            <sz val="9"/>
            <color indexed="81"/>
            <rFont val="Tahoma"/>
            <family val="2"/>
          </rPr>
          <t xml:space="preserve">
The amount that you will save is based on a percentage of your salary. That way, as your salary increases, the amount that you will save will also increase.
</t>
        </r>
        <r>
          <rPr>
            <b/>
            <sz val="9"/>
            <color indexed="81"/>
            <rFont val="Tahoma"/>
            <family val="2"/>
          </rPr>
          <t xml:space="preserve">Note: </t>
        </r>
        <r>
          <rPr>
            <sz val="9"/>
            <color indexed="81"/>
            <rFont val="Tahoma"/>
            <family val="2"/>
          </rPr>
          <t>Your annual savings contributions in this spreadsheet are not limited to just 401k contributions. However, if you specify an Employer Match, the spreadsheet assumes you are first contributing to a 401k, and then any savings beyond the 401k limits are placed in other accounts.</t>
        </r>
      </text>
    </comment>
    <comment ref="D25" authorId="0" shapeId="0" xr:uid="{A6C71B5F-3929-49E2-A821-AF21D28535D4}">
      <text>
        <r>
          <rPr>
            <b/>
            <sz val="9"/>
            <color indexed="81"/>
            <rFont val="Tahoma"/>
            <family val="2"/>
          </rPr>
          <t>Employer 401(k) Match:</t>
        </r>
        <r>
          <rPr>
            <sz val="9"/>
            <color indexed="81"/>
            <rFont val="Tahoma"/>
            <family val="2"/>
          </rPr>
          <t xml:space="preserve">
This is the amount your employer contributes, specified as a percentage of your contribution.
For example, if you contributed $1000 and your company matches 50%, then your company would contribute $500.</t>
        </r>
      </text>
    </comment>
    <comment ref="J25" authorId="0" shapeId="0" xr:uid="{32BA5DBB-E11A-4863-BD8A-A8AF89B5F3CB}">
      <text>
        <r>
          <rPr>
            <b/>
            <sz val="9"/>
            <color indexed="81"/>
            <rFont val="Tahoma"/>
            <family val="2"/>
          </rPr>
          <t>Other Assets:</t>
        </r>
        <r>
          <rPr>
            <sz val="9"/>
            <color indexed="81"/>
            <rFont val="Tahoma"/>
            <family val="2"/>
          </rPr>
          <t xml:space="preserve">
You can include the value of other assets such as a lump-sum pension or assets that can be sold to help fund your retirement. The value entered here should be the value at the time of retirement. For the sake of estimation and calculation, this amount is included as an Annual Contribution during the last year before you retire.</t>
        </r>
      </text>
    </comment>
    <comment ref="D26" authorId="0" shapeId="0" xr:uid="{C4CCF7DF-F2BA-4E51-80AB-E76F1B1C56A7}">
      <text>
        <r>
          <rPr>
            <b/>
            <sz val="9"/>
            <color indexed="81"/>
            <rFont val="Tahoma"/>
            <family val="2"/>
          </rPr>
          <t>Maximum Employee % Contribution (for Employer Match)</t>
        </r>
        <r>
          <rPr>
            <sz val="9"/>
            <color indexed="81"/>
            <rFont val="Tahoma"/>
            <family val="2"/>
          </rPr>
          <t xml:space="preserve">
There is usually a limit to how much of your contribution your company will match. The maximum employer contribution is often stated as "50% match up to 6% of your salary." For this spreadsheet, this should be interpreted as "</t>
        </r>
        <r>
          <rPr>
            <b/>
            <sz val="9"/>
            <color indexed="81"/>
            <rFont val="Tahoma"/>
            <family val="2"/>
          </rPr>
          <t>50% match up to an employee contribution of 6%.</t>
        </r>
        <r>
          <rPr>
            <sz val="9"/>
            <color indexed="81"/>
            <rFont val="Tahoma"/>
            <family val="2"/>
          </rPr>
          <t>" This means that the company stops matching the rest of your contribution if you contribute more than 6% of your salary.</t>
        </r>
      </text>
    </comment>
    <comment ref="J27" authorId="1" shapeId="0" xr:uid="{3623B5C5-F650-4853-B7EB-F1B1BB82A44D}">
      <text>
        <r>
          <rPr>
            <b/>
            <sz val="9"/>
            <color indexed="81"/>
            <rFont val="Tahoma"/>
            <family val="2"/>
          </rPr>
          <t>Shortfall:</t>
        </r>
        <r>
          <rPr>
            <sz val="9"/>
            <color indexed="81"/>
            <rFont val="Tahoma"/>
            <family val="2"/>
          </rPr>
          <t xml:space="preserve">
If the value for the shortfall is a negative number, that means there is actually a surplus instead of a shortfall. Be careful how you interpret the results. Some results might not apply in the case of a negative shortfall.</t>
        </r>
      </text>
    </comment>
    <comment ref="D29" authorId="0" shapeId="0" xr:uid="{3BEE3057-B6FB-404E-912E-77D110EC11F7}">
      <text>
        <r>
          <rPr>
            <b/>
            <sz val="9"/>
            <color indexed="81"/>
            <rFont val="Tahoma"/>
            <family val="2"/>
          </rPr>
          <t>Current Annual Contributions:</t>
        </r>
        <r>
          <rPr>
            <sz val="9"/>
            <color indexed="81"/>
            <rFont val="Tahoma"/>
            <family val="2"/>
          </rPr>
          <t xml:space="preserve">
This amount includes both the % of your salary that you are saving as well as the employer match. This amount grows with your increase in salary. That is taken into account in the calculation of the Value of Current Contributions at Retirement.</t>
        </r>
      </text>
    </comment>
    <comment ref="J29" authorId="2" shapeId="0" xr:uid="{BBA99D1F-01B4-4145-B636-19A75FAEA0B0}">
      <text>
        <r>
          <rPr>
            <b/>
            <sz val="9"/>
            <color indexed="81"/>
            <rFont val="Tahoma"/>
            <family val="2"/>
          </rPr>
          <t>Additional Annual Contribution:</t>
        </r>
        <r>
          <rPr>
            <sz val="9"/>
            <color indexed="81"/>
            <rFont val="Tahoma"/>
            <family val="2"/>
          </rPr>
          <t xml:space="preserve">
This is the amount that needs to be added to the "Current Annual Contributions" to meet the retirement goal. It is calculated based on the amount you will need to have saved, the rate or return during the accumulation period, the number of years you will be accumulating, and the percentage increase in your salary.
</t>
        </r>
        <r>
          <rPr>
            <b/>
            <sz val="9"/>
            <color indexed="81"/>
            <rFont val="Tahoma"/>
            <family val="2"/>
          </rPr>
          <t>Note:</t>
        </r>
        <r>
          <rPr>
            <sz val="9"/>
            <color indexed="81"/>
            <rFont val="Tahoma"/>
            <family val="2"/>
          </rPr>
          <t xml:space="preserve"> If this value is (negative) it would mean less needs to be saved, but be careful how you interpret the results.</t>
        </r>
      </text>
    </comment>
    <comment ref="J30" authorId="2" shapeId="0" xr:uid="{328D14FD-A057-4E1A-BB62-3B7D28D626A9}">
      <text>
        <r>
          <rPr>
            <b/>
            <sz val="9"/>
            <color indexed="81"/>
            <rFont val="Tahoma"/>
            <family val="2"/>
          </rPr>
          <t>% of Salary to Contribute:</t>
        </r>
        <r>
          <rPr>
            <sz val="9"/>
            <color indexed="81"/>
            <rFont val="Tahoma"/>
            <family val="2"/>
          </rPr>
          <t xml:space="preserve">
Taking into account your employer match, this is the percentage of your salary that you would need to contribute to savings to reach the retirement goal.</t>
        </r>
      </text>
    </comment>
    <comment ref="J31" authorId="2" shapeId="0" xr:uid="{066D0760-0963-4F4D-B745-C97E40C66BA2}">
      <text>
        <r>
          <rPr>
            <b/>
            <sz val="9"/>
            <color indexed="81"/>
            <rFont val="Tahoma"/>
            <family val="2"/>
          </rPr>
          <t>Additional Annual Contribution:</t>
        </r>
        <r>
          <rPr>
            <sz val="9"/>
            <color indexed="81"/>
            <rFont val="Tahoma"/>
            <family val="2"/>
          </rPr>
          <t xml:space="preserve">
This is the amount that needs to be added to the "Current Annual Contributions" to meet the retirement goal. It is calculated based on the amount you will need to have saved, the rate or return during the accumulation period, the number of years you will be accumulating, and the percentage increase in your salary.
</t>
        </r>
        <r>
          <rPr>
            <b/>
            <sz val="9"/>
            <color indexed="81"/>
            <rFont val="Tahoma"/>
            <family val="2"/>
          </rPr>
          <t>Note:</t>
        </r>
        <r>
          <rPr>
            <sz val="9"/>
            <color indexed="81"/>
            <rFont val="Tahoma"/>
            <family val="2"/>
          </rPr>
          <t xml:space="preserve"> If this value is (negative) it would mean less needs to be saved, but be careful how you interpret the results.</t>
        </r>
      </text>
    </comment>
    <comment ref="D43" authorId="2" shapeId="0" xr:uid="{7BC8E240-6110-4CB9-9C23-AB74C3F15686}">
      <text>
        <r>
          <rPr>
            <b/>
            <sz val="8"/>
            <color indexed="81"/>
            <rFont val="Tahoma"/>
            <family val="2"/>
          </rPr>
          <t>Payments Per Year:</t>
        </r>
        <r>
          <rPr>
            <sz val="8"/>
            <color indexed="81"/>
            <rFont val="Tahoma"/>
            <family val="2"/>
          </rPr>
          <t xml:space="preserve">
The number of contributions per year. This would normally be based on how often you receive your paycheck.
12 = Monthly
24 = Semi-Monthly (twice per month)
26 = Bi-Weekly (once every two weeks)
52 = Weekly
13 = Every 4 weeks
4 = Quarterly (four times per year)
2 = Semi-annually
1 = Annually</t>
        </r>
      </text>
    </comment>
    <comment ref="D44" authorId="2" shapeId="0" xr:uid="{A5BEED40-0068-4FD1-B0AA-34F3661E7368}">
      <text>
        <r>
          <rPr>
            <b/>
            <sz val="8"/>
            <color indexed="81"/>
            <rFont val="Tahoma"/>
            <family val="2"/>
          </rPr>
          <t>Withdrawal Payment Type:</t>
        </r>
        <r>
          <rPr>
            <sz val="8"/>
            <color indexed="81"/>
            <rFont val="Tahoma"/>
            <family val="2"/>
          </rPr>
          <t xml:space="preserve">
0 : End of Period
1 : Beginning of Period</t>
        </r>
      </text>
    </comment>
    <comment ref="G47" authorId="2" shapeId="0" xr:uid="{F1A4DC66-5AC6-4B5E-BF6D-33CF0F85B8F0}">
      <text>
        <r>
          <rPr>
            <b/>
            <sz val="9"/>
            <color indexed="81"/>
            <rFont val="Tahoma"/>
            <family val="2"/>
          </rPr>
          <t>Annual Employer Match</t>
        </r>
        <r>
          <rPr>
            <sz val="9"/>
            <color indexed="81"/>
            <rFont val="Tahoma"/>
            <family val="2"/>
          </rPr>
          <t xml:space="preserve">
The amount your employer matches during the year.</t>
        </r>
      </text>
    </comment>
    <comment ref="H47" authorId="2" shapeId="0" xr:uid="{BEB8595A-1FC6-4D74-AE7B-35D6B31DF7AE}">
      <text>
        <r>
          <rPr>
            <b/>
            <sz val="9"/>
            <color indexed="81"/>
            <rFont val="Tahoma"/>
            <family val="2"/>
          </rPr>
          <t>Retirement Income:</t>
        </r>
        <r>
          <rPr>
            <sz val="9"/>
            <color indexed="81"/>
            <rFont val="Tahoma"/>
            <family val="2"/>
          </rPr>
          <t xml:space="preserve">
This column, if it is not zero, reduces the amount of the payout. In this calculator, retirement income is NOT added to the Balance and Interest is NOT earned on retirement income.</t>
        </r>
      </text>
    </comment>
    <comment ref="I47" authorId="2" shapeId="0" xr:uid="{6236DE0E-9B22-4CA6-88E8-131121F1FD3E}">
      <text>
        <r>
          <rPr>
            <b/>
            <sz val="9"/>
            <color indexed="81"/>
            <rFont val="Tahoma"/>
            <family val="2"/>
          </rPr>
          <t>Payout (Withdrawal):</t>
        </r>
        <r>
          <rPr>
            <sz val="9"/>
            <color indexed="81"/>
            <rFont val="Tahoma"/>
            <family val="2"/>
          </rPr>
          <t xml:space="preserve">
This is the amount paid or withdrawn at the end of the specified period. If you have entered an Annual Inflation Rate, you will notice that the Payout increases each period.</t>
        </r>
      </text>
    </comment>
    <comment ref="J47" authorId="2" shapeId="0" xr:uid="{BEE46271-DB27-46D3-81F0-D5C08E3B3050}">
      <text>
        <r>
          <rPr>
            <b/>
            <i/>
            <sz val="9"/>
            <color indexed="81"/>
            <rFont val="Tahoma"/>
            <family val="2"/>
          </rPr>
          <t>Estimated</t>
        </r>
        <r>
          <rPr>
            <b/>
            <sz val="9"/>
            <color indexed="81"/>
            <rFont val="Tahoma"/>
            <family val="2"/>
          </rPr>
          <t xml:space="preserve"> Annual Investment Return:</t>
        </r>
        <r>
          <rPr>
            <sz val="9"/>
            <color indexed="81"/>
            <rFont val="Tahoma"/>
            <family val="2"/>
          </rPr>
          <t xml:space="preserve">
This is an </t>
        </r>
        <r>
          <rPr>
            <i/>
            <sz val="9"/>
            <color indexed="81"/>
            <rFont val="Tahoma"/>
            <family val="2"/>
          </rPr>
          <t>estimate</t>
        </r>
        <r>
          <rPr>
            <sz val="9"/>
            <color indexed="81"/>
            <rFont val="Tahoma"/>
            <family val="2"/>
          </rPr>
          <t xml:space="preserve"> of the increase in your retirement account based on the rates of return you have assumed before and after retirement. Actual returns are impossible to predict accurately.
This is calculated using the FV formula to account for the fact that the contributions are made in equal payments each time you receive your paycheck (the effect of compounding is fairly minimal compared to fluctuations in actual rates of return).</t>
        </r>
      </text>
    </comment>
    <comment ref="K47" authorId="2" shapeId="0" xr:uid="{0F6C3341-A022-4E12-AB76-009B8CFB859E}">
      <text>
        <r>
          <rPr>
            <sz val="8"/>
            <color indexed="81"/>
            <rFont val="Tahoma"/>
            <family val="2"/>
          </rPr>
          <t xml:space="preserve">Balance at the </t>
        </r>
        <r>
          <rPr>
            <b/>
            <sz val="8"/>
            <color indexed="81"/>
            <rFont val="Tahoma"/>
            <family val="2"/>
          </rPr>
          <t>end of the year</t>
        </r>
        <r>
          <rPr>
            <sz val="8"/>
            <color indexed="81"/>
            <rFont val="Tahoma"/>
            <family val="2"/>
          </rPr>
          <t>.</t>
        </r>
      </text>
    </comment>
    <comment ref="C48" authorId="2" shapeId="0" xr:uid="{E7433E90-FB08-4F82-8D78-44542C59BF01}">
      <text>
        <r>
          <rPr>
            <b/>
            <sz val="9"/>
            <color indexed="81"/>
            <rFont val="Tahoma"/>
            <family val="2"/>
          </rPr>
          <t>Expected Annual Return:</t>
        </r>
        <r>
          <rPr>
            <sz val="9"/>
            <color indexed="81"/>
            <rFont val="Tahoma"/>
            <family val="2"/>
          </rPr>
          <t xml:space="preserve">
To vary the rate over time, delete the formulas in this column and either add your own formulas or enter the rates manually.
</t>
        </r>
        <r>
          <rPr>
            <b/>
            <sz val="9"/>
            <color indexed="81"/>
            <rFont val="Tahoma"/>
            <family val="2"/>
          </rPr>
          <t>Random Rate Formula:</t>
        </r>
        <r>
          <rPr>
            <sz val="9"/>
            <color indexed="81"/>
            <rFont val="Tahoma"/>
            <family val="2"/>
          </rPr>
          <t xml:space="preserve">
Random rate between -2% and 10%
  =min+RAND()*(max-min)
  where min=-0.02 and max=0.10
</t>
        </r>
      </text>
    </comment>
    <comment ref="D48" authorId="2" shapeId="0" xr:uid="{A8743AFE-2D49-4320-A663-AF4F23CEF8C6}">
      <text>
        <r>
          <rPr>
            <b/>
            <sz val="9"/>
            <color indexed="81"/>
            <rFont val="Tahoma"/>
            <family val="2"/>
          </rPr>
          <t>Salary Basis:</t>
        </r>
        <r>
          <rPr>
            <sz val="9"/>
            <color indexed="81"/>
            <rFont val="Tahoma"/>
            <family val="2"/>
          </rPr>
          <t xml:space="preserve">
The contributions for each year are based on the salary in this column. This also represents what you want to live on during retirement. The increase in Salary basis after retirement is based on inflation.</t>
        </r>
      </text>
    </comment>
    <comment ref="E48" authorId="2" shapeId="0" xr:uid="{970205BD-80D1-42A5-B742-D57EC36D0966}">
      <text>
        <r>
          <rPr>
            <b/>
            <sz val="9"/>
            <color indexed="81"/>
            <rFont val="Tahoma"/>
            <family val="2"/>
          </rPr>
          <t>Your Annual Contribution:</t>
        </r>
        <r>
          <rPr>
            <sz val="9"/>
            <color indexed="81"/>
            <rFont val="Tahoma"/>
            <family val="2"/>
          </rPr>
          <t xml:space="preserve">
This calculator does not take into account whether your contributions are pre-tax or after tax (i.e. a Roth 401k). At retirement, the amount you've entered for "Value of Other Assets at Retirement" is included in the column.</t>
        </r>
      </text>
    </comment>
  </commentList>
</comments>
</file>

<file path=xl/sharedStrings.xml><?xml version="1.0" encoding="utf-8"?>
<sst xmlns="http://schemas.openxmlformats.org/spreadsheetml/2006/main" count="299" uniqueCount="157">
  <si>
    <t>Balance</t>
  </si>
  <si>
    <t>Current Age</t>
  </si>
  <si>
    <t>Age at Retirement</t>
  </si>
  <si>
    <t>Year</t>
  </si>
  <si>
    <t>Age</t>
  </si>
  <si>
    <t>Annual Increase in Salary</t>
  </si>
  <si>
    <r>
      <t xml:space="preserve">Annual </t>
    </r>
    <r>
      <rPr>
        <sz val="10"/>
        <rFont val="Tahoma"/>
        <family val="2"/>
      </rPr>
      <t>Contribution</t>
    </r>
  </si>
  <si>
    <t>Payments Per Year</t>
  </si>
  <si>
    <t>Return</t>
  </si>
  <si>
    <t>Current Annual Salary</t>
  </si>
  <si>
    <t>HELP</t>
  </si>
  <si>
    <t>Additional Help</t>
  </si>
  <si>
    <t>The link at the top of this worksheet will take you to the web page on vertex42.com that talks about this template.</t>
  </si>
  <si>
    <t>By Vertex42.com</t>
  </si>
  <si>
    <t>Do not submit copies or modifications of this template to any website or online template gallery.</t>
  </si>
  <si>
    <t>Please review the following license agreement to learn how you may or may not use this template. Thank you.</t>
  </si>
  <si>
    <t>This spreadsheet, including all worksheets and associated content is a copyrighted work under the United States and other copyright laws.</t>
  </si>
  <si>
    <t>Retirement Calculator</t>
  </si>
  <si>
    <r>
      <t xml:space="preserve">Payout
</t>
    </r>
    <r>
      <rPr>
        <sz val="10"/>
        <rFont val="Arial"/>
        <family val="2"/>
      </rPr>
      <t>(Withdrawal)</t>
    </r>
  </si>
  <si>
    <t>Annual Inflation</t>
  </si>
  <si>
    <r>
      <t xml:space="preserve">Salary </t>
    </r>
    <r>
      <rPr>
        <sz val="10"/>
        <rFont val="Tahoma"/>
        <family val="2"/>
      </rPr>
      <t>Basis</t>
    </r>
  </si>
  <si>
    <t>Withdrawal Payment Type</t>
  </si>
  <si>
    <r>
      <t xml:space="preserve">Interest
</t>
    </r>
    <r>
      <rPr>
        <sz val="10"/>
        <rFont val="Tahoma"/>
        <family val="2"/>
      </rPr>
      <t>Earned</t>
    </r>
  </si>
  <si>
    <t>Current Retirement Savings</t>
  </si>
  <si>
    <t>• Taxes and IRS Contribution Limits are NOT</t>
  </si>
  <si>
    <t>Notes</t>
  </si>
  <si>
    <r>
      <t xml:space="preserve">Employer </t>
    </r>
    <r>
      <rPr>
        <sz val="10"/>
        <rFont val="Tahoma"/>
        <family val="2"/>
      </rPr>
      <t>Match</t>
    </r>
  </si>
  <si>
    <t>factored into any of these calculations. For example,</t>
  </si>
  <si>
    <t>• Mandatory disbursements and other regulations</t>
  </si>
  <si>
    <r>
      <rPr>
        <b/>
        <sz val="10"/>
        <rFont val="Tahoma"/>
        <family val="2"/>
      </rPr>
      <t>Note:</t>
    </r>
    <r>
      <rPr>
        <sz val="10"/>
        <rFont val="Tahoma"/>
        <family val="2"/>
      </rPr>
      <t xml:space="preserve"> Results are only estimates!</t>
    </r>
  </si>
  <si>
    <t>• Results are only rough estimates, largely because</t>
  </si>
  <si>
    <t>of uncertainty in the rates of return, inflation, future</t>
  </si>
  <si>
    <t>Age When Income Begins</t>
  </si>
  <si>
    <t>Initial Annual Amount</t>
  </si>
  <si>
    <t>Retirement Income</t>
  </si>
  <si>
    <t>Annual Increase</t>
  </si>
  <si>
    <t>Other Retirement Income</t>
  </si>
  <si>
    <t>Retirement Needs</t>
  </si>
  <si>
    <t>are not accounted for.</t>
  </si>
  <si>
    <t>Only edit the cells with the light gray border.</t>
  </si>
  <si>
    <t>Instructions</t>
  </si>
  <si>
    <t>Value of Current Savings at Retirement</t>
  </si>
  <si>
    <t>Return After Retirement</t>
  </si>
  <si>
    <t>Value of Other Income at Retirement</t>
  </si>
  <si>
    <t>Rates and Inflation</t>
  </si>
  <si>
    <t>Current Retirement Savings Balance</t>
  </si>
  <si>
    <t>Shortfall at Retirement</t>
  </si>
  <si>
    <t>Plan Information</t>
  </si>
  <si>
    <t>Total % of Salary to Save to Reach Goal</t>
  </si>
  <si>
    <t>Total Needed to Fund 100% of Retirement</t>
  </si>
  <si>
    <t>Value of Other Assets at Retirement</t>
  </si>
  <si>
    <t>Salary</t>
  </si>
  <si>
    <t>Additional Annual Savings Needed</t>
  </si>
  <si>
    <t>Value of Current Contributions at Retirement</t>
  </si>
  <si>
    <t>Current Savings Contributions</t>
  </si>
  <si>
    <t>Series 1</t>
  </si>
  <si>
    <t>Series 2</t>
  </si>
  <si>
    <t>[Address, City, ST ZIP]</t>
  </si>
  <si>
    <t>Prepared By:</t>
  </si>
  <si>
    <t>Phone: [Phone]</t>
  </si>
  <si>
    <t>For:</t>
  </si>
  <si>
    <t>Email: [Email]</t>
  </si>
  <si>
    <t>Years Payout Will Last Without Additional Savings</t>
  </si>
  <si>
    <t>• This spreadsheet and its contents should not be</t>
  </si>
  <si>
    <t>construed as professional financial advice. It may not</t>
  </si>
  <si>
    <t>be suitable for your specific situation.</t>
  </si>
  <si>
    <r>
      <rPr>
        <b/>
        <sz val="11"/>
        <color rgb="FF000000"/>
        <rFont val="Arial"/>
        <family val="2"/>
      </rPr>
      <t>Caution:</t>
    </r>
    <r>
      <rPr>
        <sz val="11"/>
        <color rgb="FF000000"/>
        <rFont val="Arial"/>
        <family val="2"/>
      </rPr>
      <t xml:space="preserve"> There are a large number of assumptions and estimations made by this calculator, so be careful how you use and interpret the results. For example, it does not take into account current debt, taxes, large future expenses or disasters, etc.</t>
    </r>
  </si>
  <si>
    <t>This calculator is designed to estimate how much of your salary you may need to contribute towards savings to meet your retirement goal. It was designed based on combining a 401(k) savings calculator with a retirement withdrawal calculator.</t>
  </si>
  <si>
    <t>Read the cell comments to learn more about some of the inputs and outputs.</t>
  </si>
  <si>
    <t>Due to the complexity of retirement planning, you may need to seek help from a certified professional to understand how a calculator like this works and its limitations.</t>
  </si>
  <si>
    <t>this calculator does not take into account whether</t>
  </si>
  <si>
    <t>contributions are pre-tax as in a traditional IRA or</t>
  </si>
  <si>
    <t>post-tax as in a ROTH IRA.</t>
  </si>
  <si>
    <t>salary, willpower to continue saving, unexpected life</t>
  </si>
  <si>
    <t>events, and other assumptions.</t>
  </si>
  <si>
    <t>LOGO</t>
  </si>
  <si>
    <t>Est. Inv. Return</t>
  </si>
  <si>
    <t>◄ Unhide rows 3-6 for a "Prepared By" header</t>
  </si>
  <si>
    <t>https://www.vertex42.com/Calculators/retirement-calculator.html</t>
  </si>
  <si>
    <t>https://www.vertex42.com/licensing/EULA_personaluse.html</t>
  </si>
  <si>
    <t>Do not delete this worksheet</t>
  </si>
  <si>
    <t>License Agreement</t>
  </si>
  <si>
    <t>More Financial Calculators</t>
  </si>
  <si>
    <t>% of Salary Saved</t>
  </si>
  <si>
    <t>Max Employee % Contribution</t>
  </si>
  <si>
    <t>My Annual Contribution</t>
  </si>
  <si>
    <t>Employer's Annual Contribution</t>
  </si>
  <si>
    <t>Total Annual Contribution</t>
  </si>
  <si>
    <t>© 2015-2020 Vertex42 LLC</t>
  </si>
  <si>
    <t>Like this? Revisit the page and use a social share button.</t>
  </si>
  <si>
    <t>About this Template</t>
  </si>
  <si>
    <t>Related Templates and Resources</t>
  </si>
  <si>
    <t>Years to Pay Out After Retire.</t>
  </si>
  <si>
    <t>Years to Invest Before Retire.</t>
  </si>
  <si>
    <t>Return Before Retirement</t>
  </si>
  <si>
    <t>Employer 401(k) Match</t>
  </si>
  <si>
    <t>Years of Retirement Income</t>
  </si>
  <si>
    <t>Other Assets (Lump-sum Pension, Sellable Real Estate)</t>
  </si>
  <si>
    <t>• By default, interest is compounded annually and the</t>
  </si>
  <si>
    <t>payout is withdrawn at the beginning of the period.</t>
  </si>
  <si>
    <t>Additional Monthly Savings Needed</t>
  </si>
  <si>
    <t>Monthly Salary During Retirement (in today's dollars)</t>
  </si>
  <si>
    <t>Inflation-Adjusted Monthly Salary at Retirement</t>
  </si>
  <si>
    <t>Current Monthly Salary</t>
  </si>
  <si>
    <t>Stocks</t>
  </si>
  <si>
    <t>Real Estate</t>
  </si>
  <si>
    <t>Small Business/es</t>
  </si>
  <si>
    <t>Total Networth</t>
  </si>
  <si>
    <t>Allocation</t>
  </si>
  <si>
    <t>Value</t>
  </si>
  <si>
    <t>Untouchable Cash</t>
  </si>
  <si>
    <t>Opportunistic Cash</t>
  </si>
  <si>
    <t>Retirement Plan</t>
  </si>
  <si>
    <t>Monthly contribution from the income</t>
  </si>
  <si>
    <t>Asset Allocation</t>
  </si>
  <si>
    <t>Bitcoin</t>
  </si>
  <si>
    <t>Bonds</t>
  </si>
  <si>
    <t>Commodities</t>
  </si>
  <si>
    <t>Total</t>
  </si>
  <si>
    <t>Banks</t>
  </si>
  <si>
    <t>KBE</t>
  </si>
  <si>
    <t>Insurance</t>
  </si>
  <si>
    <t>KIE</t>
  </si>
  <si>
    <t>Regional Banking</t>
  </si>
  <si>
    <t>KRE</t>
  </si>
  <si>
    <t>Biotech</t>
  </si>
  <si>
    <t>XBI</t>
  </si>
  <si>
    <t>XHB</t>
  </si>
  <si>
    <t>Healthcare Services</t>
  </si>
  <si>
    <t>XHS</t>
  </si>
  <si>
    <t>Semiconductors</t>
  </si>
  <si>
    <t>XSD</t>
  </si>
  <si>
    <t>XSW</t>
  </si>
  <si>
    <t>Software &amp; Services</t>
  </si>
  <si>
    <t>Gold</t>
  </si>
  <si>
    <t>Homebuilders</t>
  </si>
  <si>
    <t>Full Position</t>
  </si>
  <si>
    <t>1/3 Position</t>
  </si>
  <si>
    <t>Equity Allocation</t>
  </si>
  <si>
    <t>Technonlogy</t>
  </si>
  <si>
    <t>XLK</t>
  </si>
  <si>
    <t>Communication</t>
  </si>
  <si>
    <t>XLC</t>
  </si>
  <si>
    <t>Financials</t>
  </si>
  <si>
    <t>XLF</t>
  </si>
  <si>
    <t>XLRE</t>
  </si>
  <si>
    <t>Home Builders</t>
  </si>
  <si>
    <t>XLV</t>
  </si>
  <si>
    <t>Healthcare</t>
  </si>
  <si>
    <t>XLI</t>
  </si>
  <si>
    <t>Industrials</t>
  </si>
  <si>
    <t>Consumer Discretionary</t>
  </si>
  <si>
    <t>XLY</t>
  </si>
  <si>
    <t>Home builders</t>
  </si>
  <si>
    <t>IAU</t>
  </si>
  <si>
    <t>TNT</t>
  </si>
  <si>
    <t>Life Expectancy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</si>
</sst>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8" formatCode="&quot;$&quot;#,##0.00_);[Red]\(&quot;$&quot;#,##0.00\)"/>
    <numFmt numFmtId="44" formatCode="_(&quot;$&quot;* #,##0.00_);_(&quot;$&quot;* \(#,##0.00\);_(&quot;$&quot;* &quot;-&quot;??_);_(@_)"/>
    <numFmt numFmtId="43" formatCode="_(* #,##0.00_);_(* \(#,##0.00\);_(* &quot;-&quot;??_);_(@_)"/>
    <numFmt numFmtId="164" formatCode="&quot;$&quot;* #,##0.00;&quot;$&quot;* \-#,##0.00;&quot;$&quot;* &quot;-&quot;??;@"/>
    <numFmt numFmtId="165" formatCode="0.00000"/>
    <numFmt numFmtId="166" formatCode="#,##0.0_);\(#,##0.0\)"/>
    <numFmt numFmtId="167" formatCode="#,##0_);[Color10]\(#,##0\)"/>
    <numFmt numFmtId="168" formatCode="_(* #,##0_);_(* \(#,##0\);_(* &quot;-&quot;??_);_(@_)"/>
    <numFmt numFmtId="169" formatCode="0.0%"/>
  </numFmts>
  <fonts count="50" x14ac:knownFonts="1">
    <font>
      <sz val="10"/>
      <name val="Tahoma"/>
      <family val="2"/>
    </font>
    <font>
      <sz val="10"/>
      <name val="Arial"/>
      <family val="2"/>
    </font>
    <font>
      <sz val="8"/>
      <name val="Arial"/>
      <family val="2"/>
    </font>
    <font>
      <b/>
      <sz val="10"/>
      <name val="Tahoma"/>
      <family val="2"/>
    </font>
    <font>
      <sz val="10"/>
      <name val="Tahoma"/>
      <family val="2"/>
    </font>
    <font>
      <sz val="8"/>
      <name val="Tahoma"/>
      <family val="2"/>
    </font>
    <font>
      <sz val="8"/>
      <color indexed="81"/>
      <name val="Tahoma"/>
      <family val="2"/>
    </font>
    <font>
      <b/>
      <sz val="8"/>
      <color indexed="81"/>
      <name val="Tahoma"/>
      <family val="2"/>
    </font>
    <font>
      <sz val="11"/>
      <name val="Tahoma"/>
      <family val="2"/>
    </font>
    <font>
      <b/>
      <sz val="12"/>
      <color indexed="9"/>
      <name val="Tahoma"/>
      <family val="2"/>
    </font>
    <font>
      <i/>
      <sz val="8"/>
      <name val="Tahoma"/>
      <family val="2"/>
    </font>
    <font>
      <b/>
      <i/>
      <sz val="10"/>
      <color indexed="23"/>
      <name val="Tahoma"/>
      <family val="2"/>
    </font>
    <font>
      <b/>
      <sz val="18"/>
      <color theme="0"/>
      <name val="Arial"/>
      <family val="2"/>
    </font>
    <font>
      <b/>
      <sz val="10"/>
      <color theme="4" tint="-0.249977111117893"/>
      <name val="Tahoma"/>
      <family val="2"/>
    </font>
    <font>
      <sz val="8"/>
      <color theme="0" tint="-0.499984740745262"/>
      <name val="Arial"/>
      <family val="2"/>
    </font>
    <font>
      <sz val="11"/>
      <name val="Arial"/>
      <family val="2"/>
    </font>
    <font>
      <sz val="11"/>
      <color rgb="FF000000"/>
      <name val="Arial"/>
      <family val="2"/>
    </font>
    <font>
      <sz val="10"/>
      <color indexed="12"/>
      <name val="Arial"/>
      <family val="2"/>
    </font>
    <font>
      <b/>
      <sz val="12"/>
      <name val="Arial"/>
      <family val="2"/>
    </font>
    <font>
      <sz val="10"/>
      <name val="Calibri"/>
      <family val="2"/>
      <scheme val="minor"/>
    </font>
    <font>
      <b/>
      <sz val="10"/>
      <name val="Arial"/>
      <family val="2"/>
    </font>
    <font>
      <u/>
      <sz val="11"/>
      <color indexed="12"/>
      <name val="Arial"/>
      <family val="2"/>
    </font>
    <font>
      <sz val="12"/>
      <name val="Arial"/>
      <family val="2"/>
    </font>
    <font>
      <sz val="11"/>
      <color rgb="FF000000"/>
      <name val="Tahoma"/>
      <family val="2"/>
    </font>
    <font>
      <b/>
      <sz val="11"/>
      <color rgb="FF000000"/>
      <name val="Arial"/>
      <family val="2"/>
    </font>
    <font>
      <b/>
      <sz val="12"/>
      <name val="Tahoma"/>
      <family val="2"/>
    </font>
    <font>
      <b/>
      <i/>
      <sz val="10"/>
      <name val="Tahoma"/>
      <family val="2"/>
    </font>
    <font>
      <b/>
      <sz val="11"/>
      <name val="Tahoma"/>
      <family val="2"/>
    </font>
    <font>
      <b/>
      <i/>
      <sz val="10"/>
      <color theme="5"/>
      <name val="Tahoma"/>
      <family val="2"/>
    </font>
    <font>
      <i/>
      <sz val="10"/>
      <color theme="4" tint="-0.499984740745262"/>
      <name val="Tahoma"/>
      <family val="2"/>
    </font>
    <font>
      <i/>
      <sz val="10"/>
      <color theme="5" tint="-0.499984740745262"/>
      <name val="Tahoma"/>
      <family val="2"/>
    </font>
    <font>
      <sz val="10"/>
      <color theme="1" tint="0.499984740745262"/>
      <name val="Tahoma"/>
      <family val="2"/>
    </font>
    <font>
      <sz val="11"/>
      <color theme="1" tint="0.499984740745262"/>
      <name val="Tahoma"/>
      <family val="2"/>
    </font>
    <font>
      <i/>
      <sz val="10"/>
      <color rgb="FFFF0000"/>
      <name val="Tahoma"/>
      <family val="2"/>
    </font>
    <font>
      <sz val="10"/>
      <color theme="4" tint="-0.249977111117893"/>
      <name val="Tahoma"/>
      <family val="2"/>
    </font>
    <font>
      <u/>
      <sz val="12"/>
      <color indexed="12"/>
      <name val="Arial"/>
      <family val="2"/>
    </font>
    <font>
      <u/>
      <sz val="10"/>
      <color indexed="12"/>
      <name val="Arial"/>
      <family val="2"/>
    </font>
    <font>
      <sz val="12"/>
      <color theme="1"/>
      <name val="Arial"/>
      <family val="2"/>
    </font>
    <font>
      <b/>
      <sz val="9"/>
      <color indexed="81"/>
      <name val="Tahoma"/>
      <family val="2"/>
    </font>
    <font>
      <sz val="9"/>
      <color indexed="81"/>
      <name val="Tahoma"/>
      <family val="2"/>
    </font>
    <font>
      <sz val="10"/>
      <color theme="4" tint="-0.499984740745262"/>
      <name val="Tahoma"/>
      <family val="2"/>
    </font>
    <font>
      <b/>
      <sz val="10"/>
      <color theme="6" tint="-0.249977111117893"/>
      <name val="Tahoma"/>
      <family val="2"/>
    </font>
    <font>
      <sz val="18"/>
      <color theme="0"/>
      <name val="Arial"/>
      <family val="2"/>
    </font>
    <font>
      <b/>
      <sz val="12"/>
      <color rgb="FF234372"/>
      <name val="Arial"/>
      <family val="2"/>
    </font>
    <font>
      <sz val="12"/>
      <color rgb="FF234372"/>
      <name val="Arial"/>
      <family val="2"/>
    </font>
    <font>
      <sz val="14"/>
      <color rgb="FF234372"/>
      <name val="Arial"/>
      <family val="2"/>
    </font>
    <font>
      <b/>
      <i/>
      <sz val="9"/>
      <color indexed="81"/>
      <name val="Tahoma"/>
      <family val="2"/>
    </font>
    <font>
      <i/>
      <sz val="9"/>
      <color indexed="81"/>
      <name val="Tahoma"/>
      <family val="2"/>
    </font>
    <font>
      <b/>
      <sz val="10"/>
      <color theme="0"/>
      <name val="Tahoma"/>
      <family val="2"/>
    </font>
    <font>
      <sz val="10"/>
      <color theme="0"/>
      <name val="Tahoma"/>
      <family val="2"/>
    </font>
  </fonts>
  <fills count="16">
    <fill>
      <patternFill patternType="none"/>
    </fill>
    <fill>
      <patternFill patternType="gray125"/>
    </fill>
    <fill>
      <patternFill patternType="solid">
        <fgColor theme="4" tint="0.79998168889431442"/>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solid">
        <fgColor theme="5" tint="-0.249977111117893"/>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rgb="FF3464AB"/>
        <bgColor indexed="64"/>
      </patternFill>
    </fill>
    <fill>
      <patternFill patternType="solid">
        <fgColor rgb="FFDEE8F5"/>
        <bgColor indexed="64"/>
      </patternFill>
    </fill>
    <fill>
      <patternFill patternType="solid">
        <fgColor theme="0" tint="-0.14999847407452621"/>
        <bgColor indexed="64"/>
      </patternFill>
    </fill>
  </fills>
  <borders count="9">
    <border>
      <left/>
      <right/>
      <top/>
      <bottom/>
      <diagonal/>
    </border>
    <border>
      <left style="thin">
        <color indexed="55"/>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top/>
      <bottom style="medium">
        <color theme="4" tint="0.39994506668294322"/>
      </bottom>
      <diagonal/>
    </border>
    <border>
      <left/>
      <right/>
      <top/>
      <bottom style="medium">
        <color theme="4"/>
      </bottom>
      <diagonal/>
    </border>
    <border>
      <left/>
      <right/>
      <top/>
      <bottom style="thin">
        <color theme="4"/>
      </bottom>
      <diagonal/>
    </border>
    <border>
      <left/>
      <right/>
      <top/>
      <bottom style="medium">
        <color theme="5" tint="0.39994506668294322"/>
      </bottom>
      <diagonal/>
    </border>
    <border>
      <left/>
      <right/>
      <top/>
      <bottom style="thin">
        <color indexed="55"/>
      </bottom>
      <diagonal/>
    </border>
    <border>
      <left/>
      <right/>
      <top/>
      <bottom style="thin">
        <color rgb="FF3464AB"/>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36" fillId="0" borderId="0" applyNumberFormat="0" applyFill="0" applyBorder="0" applyAlignment="0" applyProtection="0">
      <alignment vertical="top"/>
      <protection locked="0"/>
    </xf>
    <xf numFmtId="9" fontId="1" fillId="0" borderId="0" applyFont="0" applyFill="0" applyBorder="0" applyAlignment="0" applyProtection="0"/>
  </cellStyleXfs>
  <cellXfs count="128">
    <xf numFmtId="0" fontId="0" fillId="0" borderId="0" xfId="0"/>
    <xf numFmtId="8" fontId="0" fillId="0" borderId="0" xfId="0" applyNumberFormat="1" applyAlignment="1">
      <alignment horizontal="center"/>
    </xf>
    <xf numFmtId="0" fontId="36" fillId="0" borderId="0" xfId="3" applyAlignment="1" applyProtection="1">
      <alignment horizontal="left"/>
    </xf>
    <xf numFmtId="0" fontId="3" fillId="0" borderId="0" xfId="0" applyFont="1"/>
    <xf numFmtId="0" fontId="5" fillId="0" borderId="0" xfId="0" applyFont="1" applyAlignment="1">
      <alignment horizontal="center"/>
    </xf>
    <xf numFmtId="10" fontId="5" fillId="0" borderId="0" xfId="4" applyNumberFormat="1" applyFont="1" applyAlignment="1">
      <alignment horizontal="center"/>
    </xf>
    <xf numFmtId="3" fontId="10" fillId="0" borderId="0" xfId="1" applyNumberFormat="1" applyFont="1" applyAlignment="1">
      <alignment horizontal="right"/>
    </xf>
    <xf numFmtId="3" fontId="5" fillId="0" borderId="0" xfId="1" applyNumberFormat="1" applyFont="1" applyAlignment="1">
      <alignment horizontal="right"/>
    </xf>
    <xf numFmtId="4" fontId="5" fillId="0" borderId="0" xfId="1" applyNumberFormat="1" applyFont="1" applyAlignment="1">
      <alignment horizontal="right"/>
    </xf>
    <xf numFmtId="0" fontId="12" fillId="4" borderId="0" xfId="0" applyFont="1" applyFill="1" applyAlignment="1">
      <alignment vertical="center"/>
    </xf>
    <xf numFmtId="0" fontId="0" fillId="2" borderId="0" xfId="0" applyFill="1"/>
    <xf numFmtId="0" fontId="4" fillId="2" borderId="0" xfId="0" applyFont="1" applyFill="1" applyAlignment="1">
      <alignment horizontal="right" vertical="center" indent="1"/>
    </xf>
    <xf numFmtId="0" fontId="5" fillId="2" borderId="0" xfId="0" applyFont="1" applyFill="1" applyAlignment="1">
      <alignment horizontal="center"/>
    </xf>
    <xf numFmtId="44" fontId="5" fillId="2" borderId="0" xfId="2" applyFont="1" applyFill="1" applyAlignment="1">
      <alignment horizontal="center"/>
    </xf>
    <xf numFmtId="164" fontId="5" fillId="2" borderId="0" xfId="2" applyNumberFormat="1" applyFont="1" applyFill="1" applyAlignment="1">
      <alignment horizontal="center"/>
    </xf>
    <xf numFmtId="0" fontId="3" fillId="3" borderId="4" xfId="0" applyFont="1" applyFill="1" applyBorder="1" applyAlignment="1">
      <alignment horizontal="center" wrapText="1"/>
    </xf>
    <xf numFmtId="0" fontId="3" fillId="3" borderId="4" xfId="0" applyFont="1" applyFill="1" applyBorder="1" applyAlignment="1">
      <alignment horizontal="right" wrapText="1"/>
    </xf>
    <xf numFmtId="10" fontId="8" fillId="0" borderId="2" xfId="4" applyNumberFormat="1" applyFont="1" applyBorder="1" applyAlignment="1" applyProtection="1">
      <alignment horizontal="right"/>
      <protection locked="0"/>
    </xf>
    <xf numFmtId="0" fontId="13" fillId="0" borderId="5" xfId="0" applyFont="1" applyBorder="1"/>
    <xf numFmtId="0" fontId="14" fillId="0" borderId="0" xfId="0" applyFont="1" applyAlignment="1">
      <alignment horizontal="right"/>
    </xf>
    <xf numFmtId="0" fontId="16" fillId="0" borderId="0" xfId="0" applyFont="1" applyAlignment="1">
      <alignment horizontal="left" vertical="top" wrapText="1" readingOrder="1"/>
    </xf>
    <xf numFmtId="0" fontId="17" fillId="0" borderId="0" xfId="0" applyFont="1"/>
    <xf numFmtId="0" fontId="15" fillId="0" borderId="0" xfId="0" applyFont="1" applyAlignment="1">
      <alignment horizontal="right" vertical="top"/>
    </xf>
    <xf numFmtId="0" fontId="15" fillId="0" borderId="0" xfId="0" applyFont="1" applyAlignment="1">
      <alignment vertical="top" wrapText="1"/>
    </xf>
    <xf numFmtId="0" fontId="19" fillId="0" borderId="0" xfId="0" applyFont="1"/>
    <xf numFmtId="0" fontId="20" fillId="0" borderId="0" xfId="0" applyFont="1"/>
    <xf numFmtId="0" fontId="15" fillId="0" borderId="0" xfId="0" applyFont="1"/>
    <xf numFmtId="0" fontId="23" fillId="0" borderId="0" xfId="0" applyFont="1" applyAlignment="1">
      <alignment horizontal="left" vertical="center" wrapText="1" readingOrder="1"/>
    </xf>
    <xf numFmtId="0" fontId="24" fillId="0" borderId="0" xfId="0" applyFont="1" applyAlignment="1">
      <alignment horizontal="left" vertical="top" wrapText="1" readingOrder="1"/>
    </xf>
    <xf numFmtId="0" fontId="1" fillId="0" borderId="0" xfId="0" applyFont="1"/>
    <xf numFmtId="0" fontId="1" fillId="0" borderId="0" xfId="0" applyFont="1" applyAlignment="1">
      <alignment vertical="top"/>
    </xf>
    <xf numFmtId="43" fontId="1" fillId="0" borderId="0" xfId="0" applyNumberFormat="1" applyFont="1"/>
    <xf numFmtId="0" fontId="0" fillId="2" borderId="0" xfId="0" applyFill="1" applyAlignment="1">
      <alignment horizontal="right" vertical="center" indent="1"/>
    </xf>
    <xf numFmtId="0" fontId="20" fillId="3" borderId="4" xfId="0" applyFont="1" applyFill="1" applyBorder="1" applyAlignment="1">
      <alignment horizontal="center" wrapText="1"/>
    </xf>
    <xf numFmtId="0" fontId="0" fillId="7" borderId="0" xfId="0" applyFill="1"/>
    <xf numFmtId="8" fontId="0" fillId="0" borderId="0" xfId="0" applyNumberFormat="1" applyAlignment="1">
      <alignment horizontal="left"/>
    </xf>
    <xf numFmtId="10" fontId="0" fillId="0" borderId="0" xfId="4" applyNumberFormat="1" applyFont="1"/>
    <xf numFmtId="0" fontId="9" fillId="4" borderId="3" xfId="0" applyFont="1" applyFill="1" applyBorder="1" applyAlignment="1">
      <alignment vertical="center"/>
    </xf>
    <xf numFmtId="0" fontId="25" fillId="0" borderId="0" xfId="0" applyFont="1" applyAlignment="1">
      <alignment vertical="center"/>
    </xf>
    <xf numFmtId="37" fontId="8" fillId="0" borderId="1" xfId="2" applyNumberFormat="1" applyFont="1" applyBorder="1" applyAlignment="1" applyProtection="1">
      <alignment horizontal="right" vertical="center"/>
      <protection locked="0"/>
    </xf>
    <xf numFmtId="37" fontId="8" fillId="5" borderId="0" xfId="2" applyNumberFormat="1" applyFont="1" applyFill="1" applyAlignment="1">
      <alignment horizontal="right" vertical="center"/>
    </xf>
    <xf numFmtId="165" fontId="0" fillId="0" borderId="0" xfId="0" applyNumberFormat="1" applyAlignment="1">
      <alignment horizontal="right"/>
    </xf>
    <xf numFmtId="0" fontId="8" fillId="0" borderId="1" xfId="0" applyFont="1" applyBorder="1" applyAlignment="1" applyProtection="1">
      <alignment horizontal="right" indent="1"/>
      <protection locked="0"/>
    </xf>
    <xf numFmtId="0" fontId="0" fillId="3" borderId="4" xfId="0" applyFill="1" applyBorder="1" applyAlignment="1">
      <alignment horizontal="center" wrapText="1"/>
    </xf>
    <xf numFmtId="44" fontId="0" fillId="0" borderId="0" xfId="0" applyNumberFormat="1"/>
    <xf numFmtId="10" fontId="8" fillId="0" borderId="1" xfId="4" applyNumberFormat="1" applyFont="1" applyBorder="1" applyAlignment="1" applyProtection="1">
      <alignment horizontal="right"/>
      <protection locked="0"/>
    </xf>
    <xf numFmtId="0" fontId="8" fillId="0" borderId="2" xfId="0" applyFont="1" applyBorder="1" applyAlignment="1" applyProtection="1">
      <alignment horizontal="right" indent="1"/>
      <protection locked="0"/>
    </xf>
    <xf numFmtId="0" fontId="0" fillId="5" borderId="0" xfId="0" applyFill="1"/>
    <xf numFmtId="0" fontId="26" fillId="5" borderId="0" xfId="0" applyFont="1" applyFill="1" applyAlignment="1">
      <alignment horizontal="right" vertical="center" indent="1"/>
    </xf>
    <xf numFmtId="0" fontId="0" fillId="5" borderId="0" xfId="0" applyFill="1" applyAlignment="1">
      <alignment horizontal="right" indent="1"/>
    </xf>
    <xf numFmtId="8" fontId="0" fillId="5" borderId="0" xfId="0" applyNumberFormat="1" applyFill="1" applyAlignment="1">
      <alignment horizontal="left"/>
    </xf>
    <xf numFmtId="0" fontId="0" fillId="5" borderId="0" xfId="0" applyFill="1" applyAlignment="1">
      <alignment horizontal="right" vertical="center" indent="1"/>
    </xf>
    <xf numFmtId="37" fontId="8" fillId="2" borderId="0" xfId="2" applyNumberFormat="1" applyFont="1" applyFill="1" applyAlignment="1">
      <alignment horizontal="right" vertical="center"/>
    </xf>
    <xf numFmtId="0" fontId="4" fillId="3" borderId="0" xfId="0" applyFont="1" applyFill="1" applyAlignment="1">
      <alignment horizontal="right" vertical="center" indent="1"/>
    </xf>
    <xf numFmtId="0" fontId="9" fillId="8" borderId="6" xfId="0" applyFont="1" applyFill="1" applyBorder="1" applyAlignment="1">
      <alignment vertical="center"/>
    </xf>
    <xf numFmtId="0" fontId="29" fillId="3" borderId="0" xfId="0" applyFont="1" applyFill="1"/>
    <xf numFmtId="0" fontId="30" fillId="9" borderId="0" xfId="0" applyFont="1" applyFill="1"/>
    <xf numFmtId="0" fontId="11" fillId="9" borderId="0" xfId="0" applyFont="1" applyFill="1" applyAlignment="1">
      <alignment horizontal="right" vertical="center" indent="1"/>
    </xf>
    <xf numFmtId="0" fontId="28" fillId="9" borderId="0" xfId="0" applyFont="1" applyFill="1" applyAlignment="1">
      <alignment horizontal="right" vertical="center" indent="1"/>
    </xf>
    <xf numFmtId="37" fontId="8" fillId="6" borderId="1" xfId="2" applyNumberFormat="1" applyFont="1" applyFill="1" applyBorder="1" applyAlignment="1" applyProtection="1">
      <alignment horizontal="right" vertical="center"/>
      <protection locked="0"/>
    </xf>
    <xf numFmtId="0" fontId="31" fillId="0" borderId="0" xfId="0" applyFont="1"/>
    <xf numFmtId="0" fontId="31" fillId="0" borderId="0" xfId="0" applyFont="1" applyAlignment="1">
      <alignment horizontal="right" vertical="center" indent="1"/>
    </xf>
    <xf numFmtId="0" fontId="32" fillId="0" borderId="0" xfId="0" applyFont="1" applyAlignment="1" applyProtection="1">
      <alignment horizontal="center"/>
      <protection locked="0"/>
    </xf>
    <xf numFmtId="0" fontId="0" fillId="10" borderId="0" xfId="0" applyFill="1"/>
    <xf numFmtId="0" fontId="3" fillId="10" borderId="0" xfId="0" applyFont="1" applyFill="1" applyAlignment="1">
      <alignment horizontal="right" indent="1"/>
    </xf>
    <xf numFmtId="0" fontId="0" fillId="12" borderId="0" xfId="0" applyFill="1"/>
    <xf numFmtId="0" fontId="0" fillId="12" borderId="0" xfId="0" applyFill="1" applyAlignment="1">
      <alignment horizontal="right" indent="1"/>
    </xf>
    <xf numFmtId="10" fontId="0" fillId="12" borderId="0" xfId="4" applyNumberFormat="1" applyFont="1" applyFill="1"/>
    <xf numFmtId="10" fontId="8" fillId="10" borderId="0" xfId="4" applyNumberFormat="1" applyFont="1" applyFill="1" applyAlignment="1">
      <alignment horizontal="right" vertical="center"/>
    </xf>
    <xf numFmtId="0" fontId="0" fillId="0" borderId="0" xfId="0" applyAlignment="1">
      <alignment horizontal="right"/>
    </xf>
    <xf numFmtId="37" fontId="33" fillId="2" borderId="0" xfId="2" applyNumberFormat="1" applyFont="1" applyFill="1" applyAlignment="1">
      <alignment horizontal="right" vertical="center"/>
    </xf>
    <xf numFmtId="166" fontId="8" fillId="10" borderId="0" xfId="2" applyNumberFormat="1" applyFont="1" applyFill="1" applyAlignment="1">
      <alignment horizontal="right" vertical="center"/>
    </xf>
    <xf numFmtId="0" fontId="22" fillId="0" borderId="0" xfId="0" applyFont="1" applyAlignment="1">
      <alignment horizontal="right"/>
    </xf>
    <xf numFmtId="37" fontId="0" fillId="5" borderId="0" xfId="0" applyNumberFormat="1" applyFill="1"/>
    <xf numFmtId="0" fontId="8" fillId="2" borderId="0" xfId="0" applyFont="1" applyFill="1" applyAlignment="1">
      <alignment horizontal="right" indent="1"/>
    </xf>
    <xf numFmtId="0" fontId="4" fillId="0" borderId="0" xfId="0" applyFont="1" applyAlignment="1">
      <alignment horizontal="right" vertical="center" indent="1"/>
    </xf>
    <xf numFmtId="0" fontId="0" fillId="0" borderId="0" xfId="0" applyAlignment="1">
      <alignment horizontal="right" vertical="center" indent="1"/>
    </xf>
    <xf numFmtId="166" fontId="8" fillId="0" borderId="0" xfId="2" applyNumberFormat="1" applyFont="1" applyAlignment="1">
      <alignment horizontal="right" vertical="center"/>
    </xf>
    <xf numFmtId="0" fontId="34" fillId="0" borderId="0" xfId="0" applyFont="1"/>
    <xf numFmtId="0" fontId="40" fillId="2" borderId="0" xfId="0" applyFont="1" applyFill="1" applyAlignment="1">
      <alignment horizontal="right" vertical="center" indent="1"/>
    </xf>
    <xf numFmtId="0" fontId="41" fillId="0" borderId="0" xfId="0" applyFont="1" applyAlignment="1">
      <alignment horizontal="right"/>
    </xf>
    <xf numFmtId="167" fontId="27" fillId="11" borderId="0" xfId="2" applyNumberFormat="1" applyFont="1" applyFill="1" applyAlignment="1">
      <alignment horizontal="right" vertical="center"/>
    </xf>
    <xf numFmtId="167" fontId="8" fillId="10" borderId="0" xfId="2" applyNumberFormat="1" applyFont="1" applyFill="1" applyAlignment="1">
      <alignment horizontal="right" vertical="center"/>
    </xf>
    <xf numFmtId="0" fontId="13" fillId="0" borderId="0" xfId="0" applyFont="1"/>
    <xf numFmtId="0" fontId="12" fillId="13" borderId="8" xfId="0" applyFont="1" applyFill="1" applyBorder="1" applyAlignment="1">
      <alignment horizontal="left" vertical="center" indent="1"/>
    </xf>
    <xf numFmtId="0" fontId="12" fillId="13" borderId="8" xfId="0" applyFont="1" applyFill="1" applyBorder="1" applyAlignment="1">
      <alignment horizontal="left" vertical="center"/>
    </xf>
    <xf numFmtId="0" fontId="42" fillId="13" borderId="8" xfId="0" applyFont="1" applyFill="1" applyBorder="1" applyAlignment="1">
      <alignment vertical="center"/>
    </xf>
    <xf numFmtId="0" fontId="0" fillId="0" borderId="0" xfId="0"/>
    <xf numFmtId="0" fontId="1" fillId="6" borderId="0" xfId="0" applyFont="1" applyFill="1"/>
    <xf numFmtId="0" fontId="22" fillId="6" borderId="0" xfId="0" applyFont="1" applyFill="1" applyAlignment="1">
      <alignment horizontal="left" wrapText="1" indent="1"/>
    </xf>
    <xf numFmtId="0" fontId="15" fillId="6" borderId="0" xfId="0" applyFont="1" applyFill="1"/>
    <xf numFmtId="0" fontId="22" fillId="6" borderId="0" xfId="0" applyFont="1" applyFill="1"/>
    <xf numFmtId="0" fontId="36" fillId="6" borderId="0" xfId="3" applyFill="1" applyAlignment="1" applyProtection="1">
      <alignment horizontal="left" wrapText="1"/>
    </xf>
    <xf numFmtId="0" fontId="22" fillId="6" borderId="0" xfId="0" applyFont="1" applyFill="1" applyAlignment="1">
      <alignment horizontal="left" wrapText="1"/>
    </xf>
    <xf numFmtId="0" fontId="18" fillId="6" borderId="0" xfId="0" applyFont="1" applyFill="1" applyAlignment="1">
      <alignment horizontal="left" wrapText="1"/>
    </xf>
    <xf numFmtId="0" fontId="22" fillId="6" borderId="0" xfId="0" applyFont="1" applyFill="1" applyAlignment="1">
      <alignment horizontal="left"/>
    </xf>
    <xf numFmtId="0" fontId="37" fillId="6" borderId="0" xfId="0" applyFont="1" applyFill="1" applyAlignment="1">
      <alignment horizontal="left" wrapText="1"/>
    </xf>
    <xf numFmtId="0" fontId="1" fillId="0" borderId="0" xfId="0" applyFont="1"/>
    <xf numFmtId="0" fontId="35" fillId="6" borderId="0" xfId="3" applyFont="1" applyFill="1" applyAlignment="1" applyProtection="1">
      <alignment horizontal="left" wrapText="1"/>
    </xf>
    <xf numFmtId="0" fontId="12" fillId="13" borderId="8" xfId="0" applyFont="1" applyFill="1" applyBorder="1" applyAlignment="1">
      <alignment horizontal="left" vertical="center"/>
    </xf>
    <xf numFmtId="0" fontId="43" fillId="14" borderId="0" xfId="0" applyFont="1" applyFill="1" applyAlignment="1">
      <alignment vertical="center"/>
    </xf>
    <xf numFmtId="0" fontId="44" fillId="14" borderId="0" xfId="0" applyFont="1" applyFill="1" applyAlignment="1">
      <alignment vertical="center"/>
    </xf>
    <xf numFmtId="0" fontId="45" fillId="14" borderId="0" xfId="0" applyFont="1" applyFill="1" applyAlignment="1">
      <alignment vertical="center"/>
    </xf>
    <xf numFmtId="0" fontId="21" fillId="0" borderId="0" xfId="3" applyFont="1" applyFill="1" applyAlignment="1" applyProtection="1"/>
    <xf numFmtId="168" fontId="8" fillId="2" borderId="0" xfId="1" applyNumberFormat="1" applyFont="1" applyFill="1" applyAlignment="1">
      <alignment horizontal="right" indent="1"/>
    </xf>
    <xf numFmtId="168" fontId="8" fillId="0" borderId="1" xfId="1" applyNumberFormat="1" applyFont="1" applyBorder="1" applyAlignment="1" applyProtection="1">
      <alignment horizontal="right" vertical="center"/>
      <protection locked="0"/>
    </xf>
    <xf numFmtId="0" fontId="48" fillId="0" borderId="0" xfId="0" applyFont="1"/>
    <xf numFmtId="0" fontId="49" fillId="0" borderId="0" xfId="0" applyFont="1"/>
    <xf numFmtId="9" fontId="0" fillId="0" borderId="0" xfId="0" applyNumberFormat="1"/>
    <xf numFmtId="9" fontId="0" fillId="0" borderId="0" xfId="4" applyFont="1"/>
    <xf numFmtId="168" fontId="0" fillId="0" borderId="0" xfId="1" applyNumberFormat="1" applyFont="1"/>
    <xf numFmtId="168" fontId="0" fillId="0" borderId="0" xfId="0" applyNumberFormat="1"/>
    <xf numFmtId="0" fontId="0" fillId="15" borderId="0" xfId="0" applyFill="1"/>
    <xf numFmtId="9" fontId="0" fillId="15" borderId="0" xfId="4" applyFont="1" applyFill="1"/>
    <xf numFmtId="168" fontId="0" fillId="15" borderId="0" xfId="1" applyNumberFormat="1" applyFont="1" applyFill="1"/>
    <xf numFmtId="0" fontId="0" fillId="15" borderId="0" xfId="0" applyFill="1" applyAlignment="1">
      <alignment horizontal="center"/>
    </xf>
    <xf numFmtId="44" fontId="0" fillId="0" borderId="0" xfId="2" applyNumberFormat="1" applyFont="1" applyAlignment="1">
      <alignment horizontal="center"/>
    </xf>
    <xf numFmtId="169" fontId="0" fillId="0" borderId="0" xfId="4" applyNumberFormat="1" applyFont="1"/>
    <xf numFmtId="43" fontId="0" fillId="0" borderId="0" xfId="1" applyFont="1"/>
    <xf numFmtId="168" fontId="0" fillId="0" borderId="0" xfId="4" applyNumberFormat="1" applyFont="1"/>
    <xf numFmtId="9" fontId="0" fillId="5" borderId="0" xfId="4" applyFont="1" applyFill="1"/>
    <xf numFmtId="9" fontId="0" fillId="5" borderId="0" xfId="0" applyNumberFormat="1" applyFill="1"/>
    <xf numFmtId="43" fontId="0" fillId="5" borderId="0" xfId="1" applyFont="1" applyFill="1"/>
    <xf numFmtId="10" fontId="0" fillId="5" borderId="0" xfId="4" applyNumberFormat="1" applyFont="1" applyFill="1"/>
    <xf numFmtId="43" fontId="0" fillId="0" borderId="0" xfId="0" applyNumberFormat="1"/>
    <xf numFmtId="0" fontId="1" fillId="0" borderId="7" xfId="0" applyFont="1" applyBorder="1" applyAlignment="1">
      <alignment horizontal="left"/>
    </xf>
    <xf numFmtId="0" fontId="0" fillId="0" borderId="0" xfId="0" applyAlignment="1">
      <alignment horizontal="center"/>
    </xf>
    <xf numFmtId="0" fontId="0" fillId="15" borderId="0" xfId="0" applyFill="1" applyAlignment="1">
      <alignment horizontal="center"/>
    </xf>
  </cellXfs>
  <cellStyles count="5">
    <cellStyle name="Comma" xfId="1" builtinId="3"/>
    <cellStyle name="Currency" xfId="2" builtinId="4"/>
    <cellStyle name="Hyperlink" xfId="3" builtinId="8" customBuiltin="1"/>
    <cellStyle name="Normal" xfId="0" builtinId="0"/>
    <cellStyle name="Percent" xfId="4" builtinId="5"/>
  </cellStyles>
  <dxfs count="11">
    <dxf>
      <font>
        <b/>
        <i val="0"/>
        <color theme="0"/>
      </font>
      <fill>
        <patternFill>
          <bgColor rgb="FFFF5050"/>
        </patternFill>
      </fill>
    </dxf>
    <dxf>
      <font>
        <color theme="0"/>
      </font>
      <fill>
        <patternFill>
          <bgColor rgb="FFFF5050"/>
        </patternFill>
      </fill>
    </dxf>
    <dxf>
      <font>
        <condense val="0"/>
        <extend val="0"/>
        <color indexed="55"/>
      </font>
      <fill>
        <patternFill>
          <bgColor indexed="22"/>
        </patternFill>
      </fill>
    </dxf>
    <dxf>
      <fill>
        <patternFill>
          <bgColor indexed="22"/>
        </patternFill>
      </fill>
    </dxf>
    <dxf>
      <font>
        <condense val="0"/>
        <extend val="0"/>
        <color indexed="22"/>
      </font>
    </dxf>
    <dxf>
      <font>
        <condense val="0"/>
        <extend val="0"/>
        <color indexed="55"/>
      </font>
      <fill>
        <patternFill>
          <bgColor indexed="22"/>
        </patternFill>
      </fill>
    </dxf>
    <dxf>
      <font>
        <b/>
        <i val="0"/>
        <color theme="0"/>
      </font>
      <fill>
        <patternFill>
          <bgColor rgb="FFFF5050"/>
        </patternFill>
      </fill>
    </dxf>
    <dxf>
      <font>
        <condense val="0"/>
        <extend val="0"/>
        <color indexed="55"/>
      </font>
      <fill>
        <patternFill>
          <bgColor indexed="22"/>
        </patternFill>
      </fill>
    </dxf>
    <dxf>
      <fill>
        <patternFill>
          <bgColor indexed="22"/>
        </patternFill>
      </fill>
    </dxf>
    <dxf>
      <font>
        <condense val="0"/>
        <extend val="0"/>
        <color indexed="22"/>
      </font>
    </dxf>
    <dxf>
      <font>
        <condense val="0"/>
        <extend val="0"/>
        <color indexed="55"/>
      </font>
      <fill>
        <patternFill>
          <bgColor indexed="2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EAEAEA"/>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B2B2B2"/>
      <rgbColor rgb="00003366"/>
      <rgbColor rgb="00109618"/>
      <rgbColor rgb="00085108"/>
      <rgbColor rgb="00635100"/>
      <rgbColor rgb="00273359"/>
      <rgbColor rgb="00E1D8BC"/>
      <rgbColor rgb="00594C27"/>
      <rgbColor rgb="00333333"/>
    </indexedColors>
    <mruColors>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a:pPr>
            <a:r>
              <a:rPr lang="en-US" sz="1200"/>
              <a:t>Retirement Savings Balance</a:t>
            </a:r>
          </a:p>
        </c:rich>
      </c:tx>
      <c:layout>
        <c:manualLayout>
          <c:xMode val="edge"/>
          <c:yMode val="edge"/>
          <c:x val="0.16970482090473984"/>
          <c:y val="3.4364261168384883E-2"/>
        </c:manualLayout>
      </c:layout>
      <c:overlay val="0"/>
    </c:title>
    <c:autoTitleDeleted val="0"/>
    <c:plotArea>
      <c:layout>
        <c:manualLayout>
          <c:layoutTarget val="inner"/>
          <c:xMode val="edge"/>
          <c:yMode val="edge"/>
          <c:x val="0.13525358962482634"/>
          <c:y val="5.9373055172227185E-2"/>
          <c:w val="0.82115980906798414"/>
          <c:h val="0.79250931262458169"/>
        </c:manualLayout>
      </c:layout>
      <c:scatterChart>
        <c:scatterStyle val="lineMarker"/>
        <c:varyColors val="0"/>
        <c:ser>
          <c:idx val="0"/>
          <c:order val="0"/>
          <c:tx>
            <c:strRef>
              <c:f>Retirement!$E$42</c:f>
              <c:strCache>
                <c:ptCount val="1"/>
                <c:pt idx="0">
                  <c:v>Goal: Saving -2.47% of Salary</c:v>
                </c:pt>
              </c:strCache>
            </c:strRef>
          </c:tx>
          <c:spPr>
            <a:ln w="25400">
              <a:solidFill>
                <a:srgbClr val="000080"/>
              </a:solidFill>
              <a:prstDash val="solid"/>
            </a:ln>
          </c:spPr>
          <c:marker>
            <c:symbol val="none"/>
          </c:marker>
          <c:errBars>
            <c:errDir val="y"/>
            <c:errBarType val="minus"/>
            <c:errValType val="percentage"/>
            <c:noEndCap val="1"/>
            <c:val val="100"/>
            <c:spPr>
              <a:ln w="38100" cmpd="sng">
                <a:solidFill>
                  <a:schemeClr val="accent1">
                    <a:lumMod val="40000"/>
                    <a:lumOff val="60000"/>
                  </a:schemeClr>
                </a:solidFill>
              </a:ln>
            </c:spPr>
          </c:errBars>
          <c:xVal>
            <c:numRef>
              <c:f>Retirement!$B$51:$B$125</c:f>
              <c:numCache>
                <c:formatCode>General</c:formatCode>
                <c:ptCount val="75"/>
                <c:pt idx="0">
                  <c:v>45</c:v>
                </c:pt>
                <c:pt idx="1">
                  <c:v>46</c:v>
                </c:pt>
                <c:pt idx="2">
                  <c:v>47</c:v>
                </c:pt>
                <c:pt idx="3">
                  <c:v>48</c:v>
                </c:pt>
                <c:pt idx="4">
                  <c:v>49</c:v>
                </c:pt>
                <c:pt idx="5">
                  <c:v>50</c:v>
                </c:pt>
                <c:pt idx="6">
                  <c:v>51</c:v>
                </c:pt>
                <c:pt idx="7">
                  <c:v>52</c:v>
                </c:pt>
                <c:pt idx="8">
                  <c:v>53</c:v>
                </c:pt>
                <c:pt idx="9">
                  <c:v>54</c:v>
                </c:pt>
                <c:pt idx="10">
                  <c:v>55</c:v>
                </c:pt>
                <c:pt idx="11">
                  <c:v>56</c:v>
                </c:pt>
                <c:pt idx="12">
                  <c:v>57</c:v>
                </c:pt>
                <c:pt idx="13">
                  <c:v>58</c:v>
                </c:pt>
                <c:pt idx="14">
                  <c:v>59</c:v>
                </c:pt>
                <c:pt idx="15">
                  <c:v>60</c:v>
                </c:pt>
                <c:pt idx="16">
                  <c:v>61</c:v>
                </c:pt>
                <c:pt idx="17">
                  <c:v>62</c:v>
                </c:pt>
                <c:pt idx="18">
                  <c:v>63</c:v>
                </c:pt>
                <c:pt idx="19">
                  <c:v>64</c:v>
                </c:pt>
                <c:pt idx="20">
                  <c:v>65</c:v>
                </c:pt>
                <c:pt idx="21">
                  <c:v>66</c:v>
                </c:pt>
                <c:pt idx="22">
                  <c:v>67</c:v>
                </c:pt>
                <c:pt idx="23">
                  <c:v>68</c:v>
                </c:pt>
                <c:pt idx="24">
                  <c:v>69</c:v>
                </c:pt>
                <c:pt idx="25">
                  <c:v>70</c:v>
                </c:pt>
                <c:pt idx="26">
                  <c:v>71</c:v>
                </c:pt>
                <c:pt idx="27">
                  <c:v>72</c:v>
                </c:pt>
                <c:pt idx="28">
                  <c:v>73</c:v>
                </c:pt>
                <c:pt idx="29">
                  <c:v>74</c:v>
                </c:pt>
                <c:pt idx="30">
                  <c:v>75</c:v>
                </c:pt>
                <c:pt idx="31">
                  <c:v>76</c:v>
                </c:pt>
                <c:pt idx="32">
                  <c:v>77</c:v>
                </c:pt>
                <c:pt idx="33">
                  <c:v>78</c:v>
                </c:pt>
                <c:pt idx="34">
                  <c:v>79</c:v>
                </c:pt>
                <c:pt idx="35">
                  <c:v>80</c:v>
                </c:pt>
                <c:pt idx="36">
                  <c:v>81</c:v>
                </c:pt>
                <c:pt idx="37">
                  <c:v>82</c:v>
                </c:pt>
                <c:pt idx="38">
                  <c:v>83</c:v>
                </c:pt>
                <c:pt idx="39">
                  <c:v>84</c:v>
                </c:pt>
                <c:pt idx="40">
                  <c:v>85</c:v>
                </c:pt>
                <c:pt idx="41">
                  <c:v>86</c:v>
                </c:pt>
                <c:pt idx="42">
                  <c:v>87</c:v>
                </c:pt>
                <c:pt idx="43">
                  <c:v>88</c:v>
                </c:pt>
                <c:pt idx="44">
                  <c:v>89</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numCache>
            </c:numRef>
          </c:xVal>
          <c:yVal>
            <c:numRef>
              <c:f>Retirement!$K$49:$K$123</c:f>
              <c:numCache>
                <c:formatCode>#,##0.00</c:formatCode>
                <c:ptCount val="75"/>
                <c:pt idx="0">
                  <c:v>1091121.5057552885</c:v>
                </c:pt>
                <c:pt idx="1">
                  <c:v>1190911.2373738703</c:v>
                </c:pt>
                <c:pt idx="2">
                  <c:v>1300213.821206463</c:v>
                </c:pt>
                <c:pt idx="3">
                  <c:v>1419957.2364270752</c:v>
                </c:pt>
                <c:pt idx="4">
                  <c:v>1551161.0948247469</c:v>
                </c:pt>
                <c:pt idx="5">
                  <c:v>1694945.7457999343</c:v>
                </c:pt>
                <c:pt idx="6">
                  <c:v>1852542.2889472758</c:v>
                </c:pt>
                <c:pt idx="7">
                  <c:v>2025303.5848377191</c:v>
                </c:pt>
                <c:pt idx="8">
                  <c:v>2214716.3636669922</c:v>
                </c:pt>
                <c:pt idx="9">
                  <c:v>2422414.5413964679</c:v>
                </c:pt>
                <c:pt idx="10">
                  <c:v>2650193.8639670303</c:v>
                </c:pt>
                <c:pt idx="11">
                  <c:v>2900028.0122161945</c:v>
                </c:pt>
                <c:pt idx="12">
                  <c:v>3174086.313382898</c:v>
                </c:pt>
                <c:pt idx="13">
                  <c:v>3474753.2196635259</c:v>
                </c:pt>
                <c:pt idx="14">
                  <c:v>3804649.7303193337</c:v>
                </c:pt>
                <c:pt idx="15">
                  <c:v>4166656.9514751951</c:v>
                </c:pt>
                <c:pt idx="16">
                  <c:v>4563942.0071528386</c:v>
                </c:pt>
                <c:pt idx="17">
                  <c:v>4999986.5364247523</c:v>
                </c:pt>
                <c:pt idx="18">
                  <c:v>5478618.0350516895</c:v>
                </c:pt>
                <c:pt idx="19">
                  <c:v>6004044.325790544</c:v>
                </c:pt>
                <c:pt idx="20">
                  <c:v>6117754.8624397833</c:v>
                </c:pt>
                <c:pt idx="21">
                  <c:v>6231682.1755322758</c:v>
                </c:pt>
                <c:pt idx="22">
                  <c:v>6345681.8613785086</c:v>
                </c:pt>
                <c:pt idx="23">
                  <c:v>6459598.2562291408</c:v>
                </c:pt>
                <c:pt idx="24">
                  <c:v>6573263.7952937558</c:v>
                </c:pt>
                <c:pt idx="25">
                  <c:v>6686498.3403964564</c:v>
                </c:pt>
                <c:pt idx="26">
                  <c:v>6799108.4749325011</c:v>
                </c:pt>
                <c:pt idx="27">
                  <c:v>6910886.7647451675</c:v>
                </c:pt>
                <c:pt idx="28">
                  <c:v>7021610.9834964843</c:v>
                </c:pt>
                <c:pt idx="29">
                  <c:v>7131043.3010594482</c:v>
                </c:pt>
                <c:pt idx="30">
                  <c:v>7238929.4334129682</c:v>
                </c:pt>
                <c:pt idx="31">
                  <c:v>7344997.7524742</c:v>
                </c:pt>
                <c:pt idx="32">
                  <c:v>7448958.3542562006</c:v>
                </c:pt>
                <c:pt idx="33">
                  <c:v>7550502.0836922582</c:v>
                </c:pt>
                <c:pt idx="34">
                  <c:v>7649299.5144218402</c:v>
                </c:pt>
                <c:pt idx="35">
                  <c:v>7744999.8817871762</c:v>
                </c:pt>
                <c:pt idx="36">
                  <c:v>7837229.9672442358</c:v>
                </c:pt>
                <c:pt idx="37">
                  <c:v>7925592.9323474988</c:v>
                </c:pt>
                <c:pt idx="38">
                  <c:v>8009667.1004247377</c:v>
                </c:pt>
                <c:pt idx="39">
                  <c:v>8089004.6840163786</c:v>
                </c:pt>
                <c:pt idx="40">
                  <c:v>8163130.4561141264</c:v>
                </c:pt>
                <c:pt idx="41">
                  <c:v>8231540.3631959436</c:v>
                </c:pt>
                <c:pt idx="42">
                  <c:v>8293700.0780193675</c:v>
                </c:pt>
                <c:pt idx="43">
                  <c:v>8349043.4901032494</c:v>
                </c:pt>
                <c:pt idx="44">
                  <c:v>8396971.1317995489</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numCache>
            </c:numRef>
          </c:yVal>
          <c:smooth val="0"/>
          <c:extLst>
            <c:ext xmlns:c16="http://schemas.microsoft.com/office/drawing/2014/chart" uri="{C3380CC4-5D6E-409C-BE32-E72D297353CC}">
              <c16:uniqueId val="{00000000-E941-48F1-84A9-5EDD578CBE79}"/>
            </c:ext>
          </c:extLst>
        </c:ser>
        <c:ser>
          <c:idx val="1"/>
          <c:order val="1"/>
          <c:tx>
            <c:strRef>
              <c:f>Retirement!$E$43</c:f>
              <c:strCache>
                <c:ptCount val="1"/>
                <c:pt idx="0">
                  <c:v>Current: Saving 0% of Salary</c:v>
                </c:pt>
              </c:strCache>
            </c:strRef>
          </c:tx>
          <c:spPr>
            <a:ln w="25400">
              <a:solidFill>
                <a:srgbClr val="C00000"/>
              </a:solidFill>
            </a:ln>
          </c:spPr>
          <c:marker>
            <c:symbol val="none"/>
          </c:marker>
          <c:xVal>
            <c:numRef>
              <c:f>Retirement!$B$132:$B$206</c:f>
              <c:numCache>
                <c:formatCode>General</c:formatCode>
                <c:ptCount val="75"/>
                <c:pt idx="0">
                  <c:v>45</c:v>
                </c:pt>
                <c:pt idx="1">
                  <c:v>46</c:v>
                </c:pt>
                <c:pt idx="2">
                  <c:v>47</c:v>
                </c:pt>
                <c:pt idx="3">
                  <c:v>48</c:v>
                </c:pt>
                <c:pt idx="4">
                  <c:v>49</c:v>
                </c:pt>
                <c:pt idx="5">
                  <c:v>50</c:v>
                </c:pt>
                <c:pt idx="6">
                  <c:v>51</c:v>
                </c:pt>
                <c:pt idx="7">
                  <c:v>52</c:v>
                </c:pt>
                <c:pt idx="8">
                  <c:v>53</c:v>
                </c:pt>
                <c:pt idx="9">
                  <c:v>54</c:v>
                </c:pt>
                <c:pt idx="10">
                  <c:v>55</c:v>
                </c:pt>
                <c:pt idx="11">
                  <c:v>56</c:v>
                </c:pt>
                <c:pt idx="12">
                  <c:v>57</c:v>
                </c:pt>
                <c:pt idx="13">
                  <c:v>58</c:v>
                </c:pt>
                <c:pt idx="14">
                  <c:v>59</c:v>
                </c:pt>
                <c:pt idx="15">
                  <c:v>60</c:v>
                </c:pt>
                <c:pt idx="16">
                  <c:v>61</c:v>
                </c:pt>
                <c:pt idx="17">
                  <c:v>62</c:v>
                </c:pt>
                <c:pt idx="18">
                  <c:v>63</c:v>
                </c:pt>
                <c:pt idx="19">
                  <c:v>64</c:v>
                </c:pt>
                <c:pt idx="20">
                  <c:v>65</c:v>
                </c:pt>
                <c:pt idx="21">
                  <c:v>66</c:v>
                </c:pt>
                <c:pt idx="22">
                  <c:v>67</c:v>
                </c:pt>
                <c:pt idx="23">
                  <c:v>68</c:v>
                </c:pt>
                <c:pt idx="24">
                  <c:v>69</c:v>
                </c:pt>
                <c:pt idx="25">
                  <c:v>70</c:v>
                </c:pt>
                <c:pt idx="26">
                  <c:v>71</c:v>
                </c:pt>
                <c:pt idx="27">
                  <c:v>72</c:v>
                </c:pt>
                <c:pt idx="28">
                  <c:v>73</c:v>
                </c:pt>
                <c:pt idx="29">
                  <c:v>74</c:v>
                </c:pt>
                <c:pt idx="30">
                  <c:v>75</c:v>
                </c:pt>
                <c:pt idx="31">
                  <c:v>76</c:v>
                </c:pt>
                <c:pt idx="32">
                  <c:v>77</c:v>
                </c:pt>
                <c:pt idx="33">
                  <c:v>78</c:v>
                </c:pt>
                <c:pt idx="34">
                  <c:v>79</c:v>
                </c:pt>
                <c:pt idx="35">
                  <c:v>80</c:v>
                </c:pt>
                <c:pt idx="36">
                  <c:v>81</c:v>
                </c:pt>
                <c:pt idx="37">
                  <c:v>82</c:v>
                </c:pt>
                <c:pt idx="38">
                  <c:v>83</c:v>
                </c:pt>
                <c:pt idx="39">
                  <c:v>84</c:v>
                </c:pt>
                <c:pt idx="40">
                  <c:v>85</c:v>
                </c:pt>
                <c:pt idx="41">
                  <c:v>86</c:v>
                </c:pt>
                <c:pt idx="42">
                  <c:v>87</c:v>
                </c:pt>
                <c:pt idx="43">
                  <c:v>88</c:v>
                </c:pt>
                <c:pt idx="44">
                  <c:v>89</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numCache>
            </c:numRef>
          </c:xVal>
          <c:yVal>
            <c:numRef>
              <c:f>Retirement!$K$130:$K$204</c:f>
              <c:numCache>
                <c:formatCode>#,##0.00</c:formatCode>
                <c:ptCount val="75"/>
                <c:pt idx="0">
                  <c:v>1100000</c:v>
                </c:pt>
                <c:pt idx="1">
                  <c:v>1210000</c:v>
                </c:pt>
                <c:pt idx="2">
                  <c:v>1331000</c:v>
                </c:pt>
                <c:pt idx="3">
                  <c:v>1464100.0000000002</c:v>
                </c:pt>
                <c:pt idx="4">
                  <c:v>1610510.0000000005</c:v>
                </c:pt>
                <c:pt idx="5">
                  <c:v>1771561.0000000007</c:v>
                </c:pt>
                <c:pt idx="6">
                  <c:v>1948717.100000001</c:v>
                </c:pt>
                <c:pt idx="7">
                  <c:v>2143588.8100000015</c:v>
                </c:pt>
                <c:pt idx="8">
                  <c:v>2357947.691000002</c:v>
                </c:pt>
                <c:pt idx="9">
                  <c:v>2593742.4601000026</c:v>
                </c:pt>
                <c:pt idx="10">
                  <c:v>2853116.7061100029</c:v>
                </c:pt>
                <c:pt idx="11">
                  <c:v>3138428.3767210036</c:v>
                </c:pt>
                <c:pt idx="12">
                  <c:v>3452271.214393104</c:v>
                </c:pt>
                <c:pt idx="13">
                  <c:v>3797498.3358324147</c:v>
                </c:pt>
                <c:pt idx="14">
                  <c:v>4177248.1694156565</c:v>
                </c:pt>
                <c:pt idx="15">
                  <c:v>4594972.9863572223</c:v>
                </c:pt>
                <c:pt idx="16">
                  <c:v>5054470.2849929454</c:v>
                </c:pt>
                <c:pt idx="17">
                  <c:v>5559917.3134922404</c:v>
                </c:pt>
                <c:pt idx="18">
                  <c:v>6115909.0448414646</c:v>
                </c:pt>
                <c:pt idx="19">
                  <c:v>6727499.9493256118</c:v>
                </c:pt>
                <c:pt idx="20">
                  <c:v>6877383.2671516044</c:v>
                </c:pt>
                <c:pt idx="21">
                  <c:v>7029292.0004796879</c:v>
                </c:pt>
                <c:pt idx="22">
                  <c:v>7183172.1775732907</c:v>
                </c:pt>
                <c:pt idx="23">
                  <c:v>7338963.0882336628</c:v>
                </c:pt>
                <c:pt idx="24">
                  <c:v>7496596.8688985044</c:v>
                </c:pt>
                <c:pt idx="25">
                  <c:v>7655998.0676814429</c:v>
                </c:pt>
                <c:pt idx="26">
                  <c:v>7817083.1885817368</c:v>
                </c:pt>
                <c:pt idx="27">
                  <c:v>7979760.2140768655</c:v>
                </c:pt>
                <c:pt idx="28">
                  <c:v>8143928.1052947668</c:v>
                </c:pt>
                <c:pt idx="29">
                  <c:v>8309476.2789476458</c:v>
                </c:pt>
                <c:pt idx="30">
                  <c:v>8476284.0601955764</c:v>
                </c:pt>
                <c:pt idx="31">
                  <c:v>8644220.1105959378</c:v>
                </c:pt>
                <c:pt idx="32">
                  <c:v>8813141.8302840255</c:v>
                </c:pt>
                <c:pt idx="33">
                  <c:v>8982894.7335214764</c:v>
                </c:pt>
                <c:pt idx="34">
                  <c:v>9153311.7967425212</c:v>
                </c:pt>
                <c:pt idx="35">
                  <c:v>9324212.7782238908</c:v>
                </c:pt>
                <c:pt idx="36">
                  <c:v>9495403.508502787</c:v>
                </c:pt>
                <c:pt idx="37">
                  <c:v>9666675.1506689768</c:v>
                </c:pt>
                <c:pt idx="38">
                  <c:v>9837803.429662291</c:v>
                </c:pt>
                <c:pt idx="39">
                  <c:v>10008547.829715809</c:v>
                </c:pt>
                <c:pt idx="40">
                  <c:v>10178650.75909853</c:v>
                </c:pt>
                <c:pt idx="41">
                  <c:v>10347836.681329565</c:v>
                </c:pt>
                <c:pt idx="42">
                  <c:v>10515811.212059669</c:v>
                </c:pt>
                <c:pt idx="43">
                  <c:v>10682260.180845566</c:v>
                </c:pt>
                <c:pt idx="44">
                  <c:v>10846848.657078981</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numCache>
            </c:numRef>
          </c:yVal>
          <c:smooth val="0"/>
          <c:extLst>
            <c:ext xmlns:c16="http://schemas.microsoft.com/office/drawing/2014/chart" uri="{C3380CC4-5D6E-409C-BE32-E72D297353CC}">
              <c16:uniqueId val="{00000001-E941-48F1-84A9-5EDD578CBE79}"/>
            </c:ext>
          </c:extLst>
        </c:ser>
        <c:dLbls>
          <c:showLegendKey val="0"/>
          <c:showVal val="0"/>
          <c:showCatName val="0"/>
          <c:showSerName val="0"/>
          <c:showPercent val="0"/>
          <c:showBubbleSize val="0"/>
        </c:dLbls>
        <c:axId val="190748928"/>
        <c:axId val="190751104"/>
      </c:scatterChart>
      <c:valAx>
        <c:axId val="190748928"/>
        <c:scaling>
          <c:orientation val="minMax"/>
          <c:min val="20"/>
        </c:scaling>
        <c:delete val="0"/>
        <c:axPos val="b"/>
        <c:title>
          <c:tx>
            <c:rich>
              <a:bodyPr/>
              <a:lstStyle/>
              <a:p>
                <a:pPr>
                  <a:defRPr sz="1000" b="1" i="0" u="none" strike="noStrike" baseline="0">
                    <a:solidFill>
                      <a:srgbClr val="000000"/>
                    </a:solidFill>
                    <a:latin typeface="Arial"/>
                    <a:ea typeface="Arial"/>
                    <a:cs typeface="Arial"/>
                  </a:defRPr>
                </a:pPr>
                <a:r>
                  <a:rPr lang="en-US"/>
                  <a:t>Age</a:t>
                </a:r>
              </a:p>
            </c:rich>
          </c:tx>
          <c:layout>
            <c:manualLayout>
              <c:xMode val="edge"/>
              <c:yMode val="edge"/>
              <c:x val="0.56923633626679015"/>
              <c:y val="0.90517763887761438"/>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90751104"/>
        <c:crosses val="autoZero"/>
        <c:crossBetween val="midCat"/>
      </c:valAx>
      <c:valAx>
        <c:axId val="190751104"/>
        <c:scaling>
          <c:orientation val="minMax"/>
        </c:scaling>
        <c:delete val="0"/>
        <c:axPos val="l"/>
        <c:numFmt formatCode="_(\$* #,##0_);_(\$* \(#,##0\);_(\$* &quot;-&quot;??_);_(@_)"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90748928"/>
        <c:crosses val="autoZero"/>
        <c:crossBetween val="midCat"/>
      </c:valAx>
      <c:spPr>
        <a:noFill/>
        <a:ln w="25400">
          <a:noFill/>
        </a:ln>
      </c:spPr>
    </c:plotArea>
    <c:legend>
      <c:legendPos val="t"/>
      <c:layout>
        <c:manualLayout>
          <c:xMode val="edge"/>
          <c:yMode val="edge"/>
          <c:x val="0.15752856260614481"/>
          <c:y val="0.13547754897804587"/>
          <c:w val="0.30095578585765015"/>
          <c:h val="0.33038619510601774"/>
        </c:manualLayout>
      </c:layout>
      <c:overlay val="0"/>
      <c:txPr>
        <a:bodyPr/>
        <a:lstStyle/>
        <a:p>
          <a:pPr>
            <a:defRPr sz="1000"/>
          </a:pPr>
          <a:endParaRPr lang="en-US"/>
        </a:p>
      </c:txPr>
    </c:legend>
    <c:plotVisOnly val="1"/>
    <c:dispBlanksAs val="gap"/>
    <c:showDLblsOverMax val="0"/>
  </c:chart>
  <c:spPr>
    <a:solidFill>
      <a:srgbClr val="FFFFFF"/>
    </a:solidFill>
    <a:ln w="6350">
      <a:noFill/>
    </a:ln>
  </c:spPr>
  <c:txPr>
    <a:bodyPr/>
    <a:lstStyle/>
    <a:p>
      <a:pPr>
        <a:defRPr sz="5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a:pPr>
            <a:r>
              <a:rPr lang="en-US" sz="1200"/>
              <a:t>Retirement Savings Balance</a:t>
            </a:r>
          </a:p>
        </c:rich>
      </c:tx>
      <c:layout>
        <c:manualLayout>
          <c:xMode val="edge"/>
          <c:yMode val="edge"/>
          <c:x val="0.16970482090473984"/>
          <c:y val="3.4364261168384883E-2"/>
        </c:manualLayout>
      </c:layout>
      <c:overlay val="0"/>
    </c:title>
    <c:autoTitleDeleted val="0"/>
    <c:plotArea>
      <c:layout>
        <c:manualLayout>
          <c:layoutTarget val="inner"/>
          <c:xMode val="edge"/>
          <c:yMode val="edge"/>
          <c:x val="0.13525358962482634"/>
          <c:y val="5.9373055172227185E-2"/>
          <c:w val="0.82115980906798414"/>
          <c:h val="0.79250931262458169"/>
        </c:manualLayout>
      </c:layout>
      <c:scatterChart>
        <c:scatterStyle val="lineMarker"/>
        <c:varyColors val="0"/>
        <c:ser>
          <c:idx val="0"/>
          <c:order val="0"/>
          <c:tx>
            <c:strRef>
              <c:f>'Retirement Plan'!$E$41</c:f>
              <c:strCache>
                <c:ptCount val="1"/>
                <c:pt idx="0">
                  <c:v>Goal: Saving 13.22% of Salary</c:v>
                </c:pt>
              </c:strCache>
            </c:strRef>
          </c:tx>
          <c:spPr>
            <a:ln w="25400">
              <a:solidFill>
                <a:srgbClr val="000080"/>
              </a:solidFill>
              <a:prstDash val="solid"/>
            </a:ln>
          </c:spPr>
          <c:marker>
            <c:symbol val="none"/>
          </c:marker>
          <c:errBars>
            <c:errDir val="y"/>
            <c:errBarType val="minus"/>
            <c:errValType val="percentage"/>
            <c:noEndCap val="1"/>
            <c:val val="100"/>
            <c:spPr>
              <a:ln w="38100" cmpd="sng">
                <a:solidFill>
                  <a:schemeClr val="accent1">
                    <a:lumMod val="40000"/>
                    <a:lumOff val="60000"/>
                  </a:schemeClr>
                </a:solidFill>
              </a:ln>
            </c:spPr>
          </c:errBars>
          <c:xVal>
            <c:numRef>
              <c:f>'Retirement Plan'!$B$50:$B$124</c:f>
              <c:numCache>
                <c:formatCode>General</c:formatCode>
                <c:ptCount val="75"/>
                <c:pt idx="0">
                  <c:v>52</c:v>
                </c:pt>
                <c:pt idx="1">
                  <c:v>53</c:v>
                </c:pt>
                <c:pt idx="2">
                  <c:v>54</c:v>
                </c:pt>
                <c:pt idx="3">
                  <c:v>55</c:v>
                </c:pt>
                <c:pt idx="4">
                  <c:v>56</c:v>
                </c:pt>
                <c:pt idx="5">
                  <c:v>57</c:v>
                </c:pt>
                <c:pt idx="6">
                  <c:v>58</c:v>
                </c:pt>
                <c:pt idx="7">
                  <c:v>59</c:v>
                </c:pt>
                <c:pt idx="8">
                  <c:v>60</c:v>
                </c:pt>
                <c:pt idx="9">
                  <c:v>61</c:v>
                </c:pt>
                <c:pt idx="10">
                  <c:v>62</c:v>
                </c:pt>
                <c:pt idx="11">
                  <c:v>63</c:v>
                </c:pt>
                <c:pt idx="12">
                  <c:v>64</c:v>
                </c:pt>
                <c:pt idx="13">
                  <c:v>65</c:v>
                </c:pt>
                <c:pt idx="14">
                  <c:v>66</c:v>
                </c:pt>
                <c:pt idx="15">
                  <c:v>67</c:v>
                </c:pt>
                <c:pt idx="16">
                  <c:v>68</c:v>
                </c:pt>
                <c:pt idx="17">
                  <c:v>69</c:v>
                </c:pt>
                <c:pt idx="18">
                  <c:v>70</c:v>
                </c:pt>
                <c:pt idx="19">
                  <c:v>71</c:v>
                </c:pt>
                <c:pt idx="20">
                  <c:v>72</c:v>
                </c:pt>
                <c:pt idx="21">
                  <c:v>73</c:v>
                </c:pt>
                <c:pt idx="22">
                  <c:v>74</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numCache>
            </c:numRef>
          </c:xVal>
          <c:yVal>
            <c:numRef>
              <c:f>'Retirement Plan'!$K$49:$K$123</c:f>
              <c:numCache>
                <c:formatCode>#,##0.00</c:formatCode>
                <c:ptCount val="75"/>
                <c:pt idx="0">
                  <c:v>70637.726291000741</c:v>
                </c:pt>
                <c:pt idx="1">
                  <c:v>150105.16836837656</c:v>
                </c:pt>
                <c:pt idx="2">
                  <c:v>239241.14923183311</c:v>
                </c:pt>
                <c:pt idx="3">
                  <c:v>338956.23332184029</c:v>
                </c:pt>
                <c:pt idx="4">
                  <c:v>450238.54861347907</c:v>
                </c:pt>
                <c:pt idx="5">
                  <c:v>574160.06744161574</c:v>
                </c:pt>
                <c:pt idx="6">
                  <c:v>711883.38156596897</c:v>
                </c:pt>
                <c:pt idx="7">
                  <c:v>864669.00970296026</c:v>
                </c:pt>
                <c:pt idx="8">
                  <c:v>843237.57255645911</c:v>
                </c:pt>
                <c:pt idx="9">
                  <c:v>818147.96804736694</c:v>
                </c:pt>
                <c:pt idx="10">
                  <c:v>789113.82398734346</c:v>
                </c:pt>
                <c:pt idx="11">
                  <c:v>755830.31102582323</c:v>
                </c:pt>
                <c:pt idx="12">
                  <c:v>717973.05424979143</c:v>
                </c:pt>
                <c:pt idx="13">
                  <c:v>675196.98374186514</c:v>
                </c:pt>
                <c:pt idx="14">
                  <c:v>627135.12077972596</c:v>
                </c:pt>
                <c:pt idx="15">
                  <c:v>573397.29618351045</c:v>
                </c:pt>
                <c:pt idx="16">
                  <c:v>513568.79713207611</c:v>
                </c:pt>
                <c:pt idx="17">
                  <c:v>447208.93857364566</c:v>
                </c:pt>
                <c:pt idx="18">
                  <c:v>373849.55515069229</c:v>
                </c:pt>
                <c:pt idx="19">
                  <c:v>292993.40934252582</c:v>
                </c:pt>
                <c:pt idx="20">
                  <c:v>204112.51130132299</c:v>
                </c:pt>
                <c:pt idx="21">
                  <c:v>106646.34561772679</c:v>
                </c:pt>
                <c:pt idx="22">
                  <c:v>4.3073669075965881E-9</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numCache>
            </c:numRef>
          </c:yVal>
          <c:smooth val="0"/>
          <c:extLst>
            <c:ext xmlns:c16="http://schemas.microsoft.com/office/drawing/2014/chart" uri="{C3380CC4-5D6E-409C-BE32-E72D297353CC}">
              <c16:uniqueId val="{00000000-F58D-4B68-805F-E50830D5157A}"/>
            </c:ext>
          </c:extLst>
        </c:ser>
        <c:ser>
          <c:idx val="1"/>
          <c:order val="1"/>
          <c:tx>
            <c:strRef>
              <c:f>'Retirement Plan'!$E$42</c:f>
              <c:strCache>
                <c:ptCount val="1"/>
                <c:pt idx="0">
                  <c:v>Current: Saving 1.5% of Salary</c:v>
                </c:pt>
              </c:strCache>
            </c:strRef>
          </c:tx>
          <c:spPr>
            <a:ln w="25400">
              <a:solidFill>
                <a:srgbClr val="C00000"/>
              </a:solidFill>
            </a:ln>
          </c:spPr>
          <c:marker>
            <c:symbol val="none"/>
          </c:marker>
          <c:xVal>
            <c:numRef>
              <c:f>'Retirement Plan'!$B$131:$B$205</c:f>
              <c:numCache>
                <c:formatCode>General</c:formatCode>
                <c:ptCount val="75"/>
                <c:pt idx="0">
                  <c:v>52</c:v>
                </c:pt>
                <c:pt idx="1">
                  <c:v>53</c:v>
                </c:pt>
                <c:pt idx="2">
                  <c:v>54</c:v>
                </c:pt>
                <c:pt idx="3">
                  <c:v>55</c:v>
                </c:pt>
                <c:pt idx="4">
                  <c:v>56</c:v>
                </c:pt>
                <c:pt idx="5">
                  <c:v>57</c:v>
                </c:pt>
                <c:pt idx="6">
                  <c:v>58</c:v>
                </c:pt>
                <c:pt idx="7">
                  <c:v>59</c:v>
                </c:pt>
                <c:pt idx="8">
                  <c:v>60</c:v>
                </c:pt>
                <c:pt idx="9">
                  <c:v>61</c:v>
                </c:pt>
                <c:pt idx="10">
                  <c:v>62</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numCache>
            </c:numRef>
          </c:xVal>
          <c:yVal>
            <c:numRef>
              <c:f>'Retirement Plan'!$K$130:$K$204</c:f>
              <c:numCache>
                <c:formatCode>#,##0.00</c:formatCode>
                <c:ptCount val="75"/>
                <c:pt idx="0">
                  <c:v>14399.999999999993</c:v>
                </c:pt>
                <c:pt idx="1">
                  <c:v>30599.999999999982</c:v>
                </c:pt>
                <c:pt idx="2">
                  <c:v>48770.999999999971</c:v>
                </c:pt>
                <c:pt idx="3">
                  <c:v>69098.624999999956</c:v>
                </c:pt>
                <c:pt idx="4">
                  <c:v>91784.311874999941</c:v>
                </c:pt>
                <c:pt idx="5">
                  <c:v>117046.58976562493</c:v>
                </c:pt>
                <c:pt idx="6">
                  <c:v>145122.46122304676</c:v>
                </c:pt>
                <c:pt idx="7">
                  <c:v>176268.89190102526</c:v>
                </c:pt>
                <c:pt idx="8">
                  <c:v>120417.44886442734</c:v>
                </c:pt>
                <c:pt idx="9">
                  <c:v>59186.838170733536</c:v>
                </c:pt>
                <c:pt idx="10">
                  <c:v>-7795.3623831215664</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numCache>
            </c:numRef>
          </c:yVal>
          <c:smooth val="0"/>
          <c:extLst>
            <c:ext xmlns:c16="http://schemas.microsoft.com/office/drawing/2014/chart" uri="{C3380CC4-5D6E-409C-BE32-E72D297353CC}">
              <c16:uniqueId val="{00000001-F58D-4B68-805F-E50830D5157A}"/>
            </c:ext>
          </c:extLst>
        </c:ser>
        <c:dLbls>
          <c:showLegendKey val="0"/>
          <c:showVal val="0"/>
          <c:showCatName val="0"/>
          <c:showSerName val="0"/>
          <c:showPercent val="0"/>
          <c:showBubbleSize val="0"/>
        </c:dLbls>
        <c:axId val="190748928"/>
        <c:axId val="190751104"/>
      </c:scatterChart>
      <c:valAx>
        <c:axId val="190748928"/>
        <c:scaling>
          <c:orientation val="minMax"/>
          <c:min val="20"/>
        </c:scaling>
        <c:delete val="0"/>
        <c:axPos val="b"/>
        <c:title>
          <c:tx>
            <c:rich>
              <a:bodyPr/>
              <a:lstStyle/>
              <a:p>
                <a:pPr>
                  <a:defRPr sz="1000" b="1" i="0" u="none" strike="noStrike" baseline="0">
                    <a:solidFill>
                      <a:srgbClr val="000000"/>
                    </a:solidFill>
                    <a:latin typeface="Arial"/>
                    <a:ea typeface="Arial"/>
                    <a:cs typeface="Arial"/>
                  </a:defRPr>
                </a:pPr>
                <a:r>
                  <a:rPr lang="en-US"/>
                  <a:t>Age</a:t>
                </a:r>
              </a:p>
            </c:rich>
          </c:tx>
          <c:layout>
            <c:manualLayout>
              <c:xMode val="edge"/>
              <c:yMode val="edge"/>
              <c:x val="0.56923633626679015"/>
              <c:y val="0.90517763887761438"/>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90751104"/>
        <c:crosses val="autoZero"/>
        <c:crossBetween val="midCat"/>
      </c:valAx>
      <c:valAx>
        <c:axId val="190751104"/>
        <c:scaling>
          <c:orientation val="minMax"/>
        </c:scaling>
        <c:delete val="0"/>
        <c:axPos val="l"/>
        <c:numFmt formatCode="_(\$* #,##0_);_(\$* \(#,##0\);_(\$* &quot;-&quot;??_);_(@_)"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90748928"/>
        <c:crosses val="autoZero"/>
        <c:crossBetween val="midCat"/>
      </c:valAx>
      <c:spPr>
        <a:noFill/>
        <a:ln w="25400">
          <a:noFill/>
        </a:ln>
      </c:spPr>
    </c:plotArea>
    <c:legend>
      <c:legendPos val="t"/>
      <c:layout>
        <c:manualLayout>
          <c:xMode val="edge"/>
          <c:yMode val="edge"/>
          <c:x val="0.15752856260614481"/>
          <c:y val="0.13547754897804587"/>
          <c:w val="0.30095578585765015"/>
          <c:h val="0.33038619510601774"/>
        </c:manualLayout>
      </c:layout>
      <c:overlay val="0"/>
      <c:txPr>
        <a:bodyPr/>
        <a:lstStyle/>
        <a:p>
          <a:pPr>
            <a:defRPr sz="1000"/>
          </a:pPr>
          <a:endParaRPr lang="en-US"/>
        </a:p>
      </c:txPr>
    </c:legend>
    <c:plotVisOnly val="1"/>
    <c:dispBlanksAs val="gap"/>
    <c:showDLblsOverMax val="0"/>
  </c:chart>
  <c:spPr>
    <a:solidFill>
      <a:srgbClr val="FFFFFF"/>
    </a:solidFill>
    <a:ln w="6350">
      <a:noFill/>
    </a:ln>
  </c:spPr>
  <c:txPr>
    <a:bodyPr/>
    <a:lstStyle/>
    <a:p>
      <a:pPr>
        <a:defRPr sz="5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Net-worth Management Strategy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hade val="53000"/>
                </a:schemeClr>
              </a:solidFill>
              <a:ln w="19050">
                <a:solidFill>
                  <a:schemeClr val="lt1"/>
                </a:solidFill>
              </a:ln>
              <a:effectLst/>
            </c:spPr>
            <c:extLst>
              <c:ext xmlns:c16="http://schemas.microsoft.com/office/drawing/2014/chart" uri="{C3380CC4-5D6E-409C-BE32-E72D297353CC}">
                <c16:uniqueId val="{00000001-24B2-407E-B2CB-A90292799D33}"/>
              </c:ext>
            </c:extLst>
          </c:dPt>
          <c:dPt>
            <c:idx val="1"/>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3-24B2-407E-B2CB-A90292799D33}"/>
              </c:ext>
            </c:extLst>
          </c:dPt>
          <c:dPt>
            <c:idx val="2"/>
            <c:bubble3D val="0"/>
            <c:spPr>
              <a:solidFill>
                <a:schemeClr val="accent1"/>
              </a:solidFill>
              <a:ln w="19050">
                <a:solidFill>
                  <a:schemeClr val="lt1"/>
                </a:solidFill>
              </a:ln>
              <a:effectLst/>
            </c:spPr>
            <c:extLst>
              <c:ext xmlns:c16="http://schemas.microsoft.com/office/drawing/2014/chart" uri="{C3380CC4-5D6E-409C-BE32-E72D297353CC}">
                <c16:uniqueId val="{00000005-24B2-407E-B2CB-A90292799D33}"/>
              </c:ext>
            </c:extLst>
          </c:dPt>
          <c:dPt>
            <c:idx val="3"/>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7-24B2-407E-B2CB-A90292799D33}"/>
              </c:ext>
            </c:extLst>
          </c:dPt>
          <c:dPt>
            <c:idx val="4"/>
            <c:bubble3D val="0"/>
            <c:spPr>
              <a:solidFill>
                <a:schemeClr val="accent1">
                  <a:tint val="54000"/>
                </a:schemeClr>
              </a:solidFill>
              <a:ln w="19050">
                <a:solidFill>
                  <a:schemeClr val="lt1"/>
                </a:solidFill>
              </a:ln>
              <a:effectLst/>
            </c:spPr>
            <c:extLst>
              <c:ext xmlns:c16="http://schemas.microsoft.com/office/drawing/2014/chart" uri="{C3380CC4-5D6E-409C-BE32-E72D297353CC}">
                <c16:uniqueId val="{00000009-24B2-407E-B2CB-A90292799D3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'Net-worth Allocation'!$A$2:$A$6</c:f>
              <c:strCache>
                <c:ptCount val="5"/>
                <c:pt idx="0">
                  <c:v>Stocks</c:v>
                </c:pt>
                <c:pt idx="1">
                  <c:v>Small Business/es</c:v>
                </c:pt>
                <c:pt idx="2">
                  <c:v>Real Estate</c:v>
                </c:pt>
                <c:pt idx="3">
                  <c:v>Untouchable Cash</c:v>
                </c:pt>
                <c:pt idx="4">
                  <c:v>Opportunistic Cash</c:v>
                </c:pt>
              </c:strCache>
            </c:strRef>
          </c:cat>
          <c:val>
            <c:numRef>
              <c:f>'Net-worth Allocation'!$B$2:$B$6</c:f>
              <c:numCache>
                <c:formatCode>0%</c:formatCode>
                <c:ptCount val="5"/>
                <c:pt idx="0">
                  <c:v>0.1</c:v>
                </c:pt>
                <c:pt idx="1">
                  <c:v>0.15</c:v>
                </c:pt>
                <c:pt idx="2">
                  <c:v>0.35</c:v>
                </c:pt>
                <c:pt idx="3">
                  <c:v>0.3</c:v>
                </c:pt>
                <c:pt idx="4">
                  <c:v>0.1</c:v>
                </c:pt>
              </c:numCache>
            </c:numRef>
          </c:val>
          <c:extLst>
            <c:ext xmlns:c16="http://schemas.microsoft.com/office/drawing/2014/chart" uri="{C3380CC4-5D6E-409C-BE32-E72D297353CC}">
              <c16:uniqueId val="{00000000-E4EE-4E1D-AAAD-83EEAF71F6E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hyperlink" Target="https://www.vertex42.com/" TargetMode="External"/></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70485</xdr:colOff>
      <xdr:row>33</xdr:row>
      <xdr:rowOff>87630</xdr:rowOff>
    </xdr:from>
    <xdr:to>
      <xdr:col>10</xdr:col>
      <xdr:colOff>748665</xdr:colOff>
      <xdr:row>46</xdr:row>
      <xdr:rowOff>102870</xdr:rowOff>
    </xdr:to>
    <xdr:graphicFrame macro="">
      <xdr:nvGraphicFramePr>
        <xdr:cNvPr id="1028" name="Chart 4">
          <a:extLst>
            <a:ext uri="{FF2B5EF4-FFF2-40B4-BE49-F238E27FC236}">
              <a16:creationId xmlns:a16="http://schemas.microsoft.com/office/drawing/2014/main" id="{00000000-0008-0000-0000-000004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editAs="oneCell">
    <xdr:from>
      <xdr:col>9</xdr:col>
      <xdr:colOff>373380</xdr:colOff>
      <xdr:row>0</xdr:row>
      <xdr:rowOff>30481</xdr:rowOff>
    </xdr:from>
    <xdr:to>
      <xdr:col>10</xdr:col>
      <xdr:colOff>975360</xdr:colOff>
      <xdr:row>0</xdr:row>
      <xdr:rowOff>358141</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981700" y="30481"/>
          <a:ext cx="1310640" cy="32766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38100</xdr:colOff>
      <xdr:row>0</xdr:row>
      <xdr:rowOff>57150</xdr:rowOff>
    </xdr:from>
    <xdr:to>
      <xdr:col>2</xdr:col>
      <xdr:colOff>1257300</xdr:colOff>
      <xdr:row>0</xdr:row>
      <xdr:rowOff>361950</xdr:rowOff>
    </xdr:to>
    <xdr:pic>
      <xdr:nvPicPr>
        <xdr:cNvPr id="4" name="Picture 3">
          <a:extLst>
            <a:ext uri="{FF2B5EF4-FFF2-40B4-BE49-F238E27FC236}">
              <a16:creationId xmlns:a16="http://schemas.microsoft.com/office/drawing/2014/main" id="{B5F7D147-9FC6-410F-940D-D449953E887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81650" y="57150"/>
          <a:ext cx="1219200" cy="3048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2</xdr:col>
      <xdr:colOff>55620</xdr:colOff>
      <xdr:row>0</xdr:row>
      <xdr:rowOff>0</xdr:rowOff>
    </xdr:from>
    <xdr:ext cx="1430280" cy="400106"/>
    <xdr:pic>
      <xdr:nvPicPr>
        <xdr:cNvPr id="2" name="Picture 1">
          <a:hlinkClick xmlns:r="http://schemas.openxmlformats.org/officeDocument/2006/relationships" r:id="rId1"/>
          <a:extLst>
            <a:ext uri="{FF2B5EF4-FFF2-40B4-BE49-F238E27FC236}">
              <a16:creationId xmlns:a16="http://schemas.microsoft.com/office/drawing/2014/main" id="{A2E10E8C-13CF-4D06-863C-2BB75DFACB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018145" y="0"/>
          <a:ext cx="1430280" cy="400106"/>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twoCellAnchor editAs="oneCell">
    <xdr:from>
      <xdr:col>0</xdr:col>
      <xdr:colOff>70485</xdr:colOff>
      <xdr:row>32</xdr:row>
      <xdr:rowOff>93980</xdr:rowOff>
    </xdr:from>
    <xdr:to>
      <xdr:col>10</xdr:col>
      <xdr:colOff>748665</xdr:colOff>
      <xdr:row>45</xdr:row>
      <xdr:rowOff>109220</xdr:rowOff>
    </xdr:to>
    <xdr:graphicFrame macro="">
      <xdr:nvGraphicFramePr>
        <xdr:cNvPr id="2" name="Chart 4">
          <a:extLst>
            <a:ext uri="{FF2B5EF4-FFF2-40B4-BE49-F238E27FC236}">
              <a16:creationId xmlns:a16="http://schemas.microsoft.com/office/drawing/2014/main" id="{10FF8285-9D01-4FD9-81D5-9EF25D00EC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editAs="oneCell">
    <xdr:from>
      <xdr:col>9</xdr:col>
      <xdr:colOff>373380</xdr:colOff>
      <xdr:row>0</xdr:row>
      <xdr:rowOff>30481</xdr:rowOff>
    </xdr:from>
    <xdr:to>
      <xdr:col>10</xdr:col>
      <xdr:colOff>975360</xdr:colOff>
      <xdr:row>6</xdr:row>
      <xdr:rowOff>168910</xdr:rowOff>
    </xdr:to>
    <xdr:pic>
      <xdr:nvPicPr>
        <xdr:cNvPr id="3" name="Picture 2">
          <a:extLst>
            <a:ext uri="{FF2B5EF4-FFF2-40B4-BE49-F238E27FC236}">
              <a16:creationId xmlns:a16="http://schemas.microsoft.com/office/drawing/2014/main" id="{179FCC74-866C-4659-939A-A589AD29C33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088380" y="30481"/>
          <a:ext cx="1319530" cy="32766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5</xdr:col>
      <xdr:colOff>263525</xdr:colOff>
      <xdr:row>0</xdr:row>
      <xdr:rowOff>66675</xdr:rowOff>
    </xdr:from>
    <xdr:to>
      <xdr:col>12</xdr:col>
      <xdr:colOff>568325</xdr:colOff>
      <xdr:row>18</xdr:row>
      <xdr:rowOff>111125</xdr:rowOff>
    </xdr:to>
    <xdr:graphicFrame macro="">
      <xdr:nvGraphicFramePr>
        <xdr:cNvPr id="2" name="Chart 1">
          <a:extLst>
            <a:ext uri="{FF2B5EF4-FFF2-40B4-BE49-F238E27FC236}">
              <a16:creationId xmlns:a16="http://schemas.microsoft.com/office/drawing/2014/main" id="{77DBD29F-6FDD-9DAE-B687-CCEC5D3E92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V42-BlueGray">
      <a:dk1>
        <a:sysClr val="windowText" lastClr="000000"/>
      </a:dk1>
      <a:lt1>
        <a:sysClr val="window" lastClr="FFFFFF"/>
      </a:lt1>
      <a:dk2>
        <a:srgbClr val="3B4E87"/>
      </a:dk2>
      <a:lt2>
        <a:srgbClr val="EEECE2"/>
      </a:lt2>
      <a:accent1>
        <a:srgbClr val="5E8BCE"/>
      </a:accent1>
      <a:accent2>
        <a:srgbClr val="7F7F7F"/>
      </a:accent2>
      <a:accent3>
        <a:srgbClr val="26AA26"/>
      </a:accent3>
      <a:accent4>
        <a:srgbClr val="7860B4"/>
      </a:accent4>
      <a:accent5>
        <a:srgbClr val="C04E4E"/>
      </a:accent5>
      <a:accent6>
        <a:srgbClr val="846648"/>
      </a:accent6>
      <a:hlink>
        <a:srgbClr val="4C92AE"/>
      </a:hlink>
      <a:folHlink>
        <a:srgbClr val="969696"/>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Calculators/financial-calculators.html" TargetMode="External"/><Relationship Id="rId1" Type="http://schemas.openxmlformats.org/officeDocument/2006/relationships/hyperlink" Target="https://www.vertex42.com/Calculators/retirement-calculator.html"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www.vertex42.com/Calculators/retirement-calculator.html"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www.vertex42.com/Calculators/retirement-calculator.html" TargetMode="External"/><Relationship Id="rId1" Type="http://schemas.openxmlformats.org/officeDocument/2006/relationships/hyperlink" Target="https://www.vertex42.com/licensing/EULA_personaluse.html" TargetMode="External"/><Relationship Id="rId5" Type="http://schemas.openxmlformats.org/officeDocument/2006/relationships/image" Target="../media/image2.png"/><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vertex42.com/Calculators/financial-calculators.html" TargetMode="External"/><Relationship Id="rId1" Type="http://schemas.openxmlformats.org/officeDocument/2006/relationships/hyperlink" Target="https://www.vertex42.com/Calculators/retirement-calculator.html" TargetMode="External"/><Relationship Id="rId6" Type="http://schemas.openxmlformats.org/officeDocument/2006/relationships/comments" Target="../comments2.xml"/><Relationship Id="rId5" Type="http://schemas.openxmlformats.org/officeDocument/2006/relationships/vmlDrawing" Target="../drawings/vmlDrawing2.vm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M207"/>
  <sheetViews>
    <sheetView showGridLines="0" tabSelected="1" topLeftCell="A2" workbookViewId="0">
      <selection activeCell="E20" sqref="E20"/>
    </sheetView>
  </sheetViews>
  <sheetFormatPr defaultColWidth="9.1796875" defaultRowHeight="12.5" x14ac:dyDescent="0.25"/>
  <cols>
    <col min="1" max="1" width="6.453125" customWidth="1"/>
    <col min="2" max="2" width="6.7265625" customWidth="1"/>
    <col min="3" max="3" width="7.54296875" customWidth="1"/>
    <col min="4" max="4" width="8.81640625" customWidth="1"/>
    <col min="5" max="5" width="13" customWidth="1"/>
    <col min="6" max="6" width="4.7265625" customWidth="1"/>
    <col min="7" max="7" width="11.54296875" customWidth="1"/>
    <col min="8" max="8" width="10.81640625" customWidth="1"/>
    <col min="9" max="9" width="12.1796875" customWidth="1"/>
    <col min="10" max="10" width="10.26953125" customWidth="1"/>
    <col min="11" max="11" width="15" customWidth="1"/>
    <col min="12" max="12" width="5.08984375" customWidth="1"/>
    <col min="13" max="13" width="37.81640625" customWidth="1"/>
    <col min="16" max="16" width="17.7265625" customWidth="1"/>
    <col min="17" max="17" width="11.26953125" bestFit="1" customWidth="1"/>
  </cols>
  <sheetData>
    <row r="1" spans="1:13" ht="30" customHeight="1" x14ac:dyDescent="0.25">
      <c r="A1" s="9" t="s">
        <v>17</v>
      </c>
      <c r="B1" s="9"/>
      <c r="C1" s="9"/>
      <c r="D1" s="9"/>
      <c r="E1" s="9"/>
      <c r="F1" s="9"/>
      <c r="G1" s="9"/>
      <c r="H1" s="9"/>
      <c r="I1" s="9"/>
      <c r="J1" s="9"/>
      <c r="K1" s="9"/>
    </row>
    <row r="2" spans="1:13" x14ac:dyDescent="0.25">
      <c r="M2" s="78" t="s">
        <v>77</v>
      </c>
    </row>
    <row r="3" spans="1:13" ht="15.5" hidden="1" x14ac:dyDescent="0.35">
      <c r="A3" s="72" t="s">
        <v>60</v>
      </c>
      <c r="B3" s="125"/>
      <c r="C3" s="125"/>
      <c r="D3" s="125"/>
      <c r="E3" s="125"/>
      <c r="G3" s="72" t="s">
        <v>58</v>
      </c>
      <c r="H3" s="125"/>
      <c r="I3" s="125"/>
      <c r="K3" t="s">
        <v>75</v>
      </c>
    </row>
    <row r="4" spans="1:13" hidden="1" x14ac:dyDescent="0.25">
      <c r="A4" s="2"/>
      <c r="B4" t="s">
        <v>57</v>
      </c>
      <c r="H4" t="s">
        <v>57</v>
      </c>
    </row>
    <row r="5" spans="1:13" hidden="1" x14ac:dyDescent="0.25">
      <c r="A5" s="2"/>
      <c r="H5" t="s">
        <v>59</v>
      </c>
    </row>
    <row r="6" spans="1:13" hidden="1" x14ac:dyDescent="0.25">
      <c r="A6" s="2"/>
      <c r="H6" t="s">
        <v>61</v>
      </c>
    </row>
    <row r="7" spans="1:13" ht="15.5" thickBot="1" x14ac:dyDescent="0.3">
      <c r="A7" s="37" t="s">
        <v>47</v>
      </c>
      <c r="B7" s="37"/>
      <c r="C7" s="37"/>
      <c r="D7" s="37"/>
      <c r="E7" s="37"/>
      <c r="F7" s="38"/>
      <c r="G7" s="54" t="s">
        <v>37</v>
      </c>
      <c r="H7" s="54"/>
      <c r="I7" s="54"/>
      <c r="J7" s="54"/>
      <c r="K7" s="54"/>
      <c r="M7" s="2" t="s">
        <v>17</v>
      </c>
    </row>
    <row r="8" spans="1:13" ht="15" customHeight="1" x14ac:dyDescent="0.3">
      <c r="A8" s="10"/>
      <c r="B8" s="11"/>
      <c r="C8" s="11"/>
      <c r="D8" s="11" t="s">
        <v>1</v>
      </c>
      <c r="E8" s="46">
        <v>45</v>
      </c>
      <c r="G8" s="47"/>
      <c r="H8" s="47"/>
      <c r="I8" s="47"/>
      <c r="J8" s="51" t="s">
        <v>101</v>
      </c>
      <c r="K8" s="59">
        <v>100000</v>
      </c>
      <c r="M8" s="83" t="s">
        <v>13</v>
      </c>
    </row>
    <row r="9" spans="1:13" ht="15" customHeight="1" x14ac:dyDescent="0.3">
      <c r="A9" s="10"/>
      <c r="B9" s="11"/>
      <c r="C9" s="11"/>
      <c r="D9" s="11" t="s">
        <v>2</v>
      </c>
      <c r="E9" s="42">
        <v>65</v>
      </c>
      <c r="G9" s="47"/>
      <c r="H9" s="47"/>
      <c r="I9" s="48"/>
      <c r="J9" s="49" t="s">
        <v>102</v>
      </c>
      <c r="K9" s="40">
        <f>FV(E17,(E9-E8),,-K8)</f>
        <v>180611.12346694132</v>
      </c>
      <c r="M9" s="78" t="s">
        <v>88</v>
      </c>
    </row>
    <row r="10" spans="1:13" ht="15" customHeight="1" x14ac:dyDescent="0.3">
      <c r="A10" s="10"/>
      <c r="B10" s="11"/>
      <c r="C10" s="11"/>
      <c r="D10" s="32" t="s">
        <v>156</v>
      </c>
      <c r="E10" s="42">
        <v>90</v>
      </c>
      <c r="G10" s="47"/>
      <c r="H10" s="47"/>
      <c r="I10" s="47"/>
      <c r="J10" s="49" t="s">
        <v>49</v>
      </c>
      <c r="K10" s="40">
        <f>PV(((1+E16)/(1+E17)-1)/E44,E11*E44,-IF(E45=1,K9/E44,K9/(1+E17)/E44),,1)</f>
        <v>3619326.3812424592</v>
      </c>
      <c r="M10" s="78" t="s">
        <v>89</v>
      </c>
    </row>
    <row r="11" spans="1:13" ht="15" customHeight="1" x14ac:dyDescent="0.3">
      <c r="A11" s="10"/>
      <c r="B11" s="11"/>
      <c r="C11" s="11"/>
      <c r="D11" s="32" t="s">
        <v>92</v>
      </c>
      <c r="E11" s="74">
        <f>E10-E9</f>
        <v>25</v>
      </c>
      <c r="G11" s="47"/>
      <c r="H11" s="47"/>
      <c r="I11" s="47"/>
      <c r="J11" s="47"/>
      <c r="K11" s="47"/>
      <c r="L11" s="124"/>
    </row>
    <row r="12" spans="1:13" ht="15" customHeight="1" x14ac:dyDescent="0.3">
      <c r="A12" s="10"/>
      <c r="B12" s="11"/>
      <c r="C12" s="11"/>
      <c r="D12" s="32" t="s">
        <v>93</v>
      </c>
      <c r="E12" s="74">
        <f>E9-E8</f>
        <v>20</v>
      </c>
      <c r="G12" s="56" t="s">
        <v>23</v>
      </c>
      <c r="H12" s="57"/>
      <c r="I12" s="57"/>
      <c r="J12" s="57"/>
      <c r="K12" s="58"/>
      <c r="M12" s="2" t="s">
        <v>82</v>
      </c>
    </row>
    <row r="13" spans="1:13" ht="15" customHeight="1" x14ac:dyDescent="0.25">
      <c r="A13" s="10"/>
      <c r="B13" s="11"/>
      <c r="C13" s="11"/>
      <c r="D13" s="11"/>
      <c r="E13" s="11"/>
      <c r="G13" s="47"/>
      <c r="H13" s="47"/>
      <c r="I13" s="47"/>
      <c r="J13" s="51" t="s">
        <v>45</v>
      </c>
      <c r="K13" s="39">
        <v>1000000</v>
      </c>
    </row>
    <row r="14" spans="1:13" ht="15" customHeight="1" x14ac:dyDescent="0.25">
      <c r="A14" s="55" t="s">
        <v>44</v>
      </c>
      <c r="B14" s="53"/>
      <c r="C14" s="53"/>
      <c r="D14" s="53"/>
      <c r="E14" s="53"/>
      <c r="G14" s="47"/>
      <c r="H14" s="47"/>
      <c r="I14" s="47"/>
      <c r="J14" s="49" t="s">
        <v>41</v>
      </c>
      <c r="K14" s="40">
        <f>-FV(AVERAGE(E15:E16)/E44,(E9-E8)*E44,0,K13,0)</f>
        <v>4247851.1002391102</v>
      </c>
      <c r="M14" s="18" t="s">
        <v>25</v>
      </c>
    </row>
    <row r="15" spans="1:13" ht="15" customHeight="1" x14ac:dyDescent="0.3">
      <c r="A15" s="10"/>
      <c r="B15" s="11"/>
      <c r="C15" s="11"/>
      <c r="D15" s="32" t="s">
        <v>94</v>
      </c>
      <c r="E15" s="45">
        <v>0.1</v>
      </c>
      <c r="G15" s="47"/>
      <c r="H15" s="47"/>
      <c r="I15" s="47"/>
      <c r="J15" s="49" t="s">
        <v>53</v>
      </c>
      <c r="K15" s="40">
        <f>IF(E22=E15,(E30/E44)*((E12*E44)*(1+E15/E44)^(E12*E44))/(1+E22/E44),(E30/E44)*((1+E22/E44)^(E12*E44)-(1+E15/E44)^(E12*E44))/(E22/E44-E15/E44))</f>
        <v>0</v>
      </c>
      <c r="M15" s="78" t="s">
        <v>24</v>
      </c>
    </row>
    <row r="16" spans="1:13" ht="15" customHeight="1" x14ac:dyDescent="0.3">
      <c r="A16" s="10"/>
      <c r="B16" s="11"/>
      <c r="C16" s="11"/>
      <c r="D16" s="32" t="s">
        <v>42</v>
      </c>
      <c r="E16" s="17">
        <v>0.05</v>
      </c>
      <c r="G16" s="47"/>
      <c r="H16" s="47"/>
      <c r="I16" s="47"/>
      <c r="J16" s="47"/>
      <c r="K16" s="73"/>
      <c r="M16" s="78" t="s">
        <v>27</v>
      </c>
    </row>
    <row r="17" spans="1:13" ht="15" customHeight="1" x14ac:dyDescent="0.3">
      <c r="A17" s="10"/>
      <c r="B17" s="11"/>
      <c r="C17" s="11"/>
      <c r="D17" s="32" t="s">
        <v>19</v>
      </c>
      <c r="E17" s="17">
        <v>0.03</v>
      </c>
      <c r="F17" s="36"/>
      <c r="G17" s="56" t="s">
        <v>36</v>
      </c>
      <c r="H17" s="57"/>
      <c r="I17" s="57"/>
      <c r="J17" s="57"/>
      <c r="K17" s="58"/>
      <c r="M17" s="78" t="s">
        <v>70</v>
      </c>
    </row>
    <row r="18" spans="1:13" ht="15" customHeight="1" x14ac:dyDescent="0.25">
      <c r="A18" s="10"/>
      <c r="B18" s="11"/>
      <c r="C18" s="11"/>
      <c r="D18" s="11"/>
      <c r="E18" s="11"/>
      <c r="G18" s="47"/>
      <c r="H18" s="50"/>
      <c r="I18" s="47"/>
      <c r="J18" s="49" t="s">
        <v>32</v>
      </c>
      <c r="K18" s="40">
        <f>E9</f>
        <v>65</v>
      </c>
      <c r="M18" s="78" t="s">
        <v>71</v>
      </c>
    </row>
    <row r="19" spans="1:13" ht="15" customHeight="1" x14ac:dyDescent="0.25">
      <c r="A19" s="55" t="s">
        <v>51</v>
      </c>
      <c r="B19" s="53"/>
      <c r="C19" s="53"/>
      <c r="D19" s="53"/>
      <c r="E19" s="53"/>
      <c r="G19" s="47"/>
      <c r="H19" s="47"/>
      <c r="I19" s="47"/>
      <c r="J19" s="49" t="s">
        <v>33</v>
      </c>
      <c r="K19" s="39">
        <v>3000</v>
      </c>
      <c r="M19" s="78" t="s">
        <v>72</v>
      </c>
    </row>
    <row r="20" spans="1:13" ht="15" customHeight="1" x14ac:dyDescent="0.3">
      <c r="A20" s="55"/>
      <c r="B20" s="53"/>
      <c r="C20" s="53"/>
      <c r="D20" s="32" t="s">
        <v>103</v>
      </c>
      <c r="E20" s="105">
        <v>30000</v>
      </c>
      <c r="F20" s="36"/>
      <c r="G20" s="47"/>
      <c r="H20" s="47"/>
      <c r="I20" s="47"/>
      <c r="J20" s="49" t="s">
        <v>35</v>
      </c>
      <c r="K20" s="17">
        <v>7.0000000000000007E-2</v>
      </c>
      <c r="M20" s="78"/>
    </row>
    <row r="21" spans="1:13" ht="15" customHeight="1" x14ac:dyDescent="0.3">
      <c r="A21" s="10"/>
      <c r="B21" s="11"/>
      <c r="C21" s="11"/>
      <c r="D21" s="32" t="s">
        <v>9</v>
      </c>
      <c r="E21" s="104">
        <f>E20*12</f>
        <v>360000</v>
      </c>
      <c r="G21" s="47"/>
      <c r="H21" s="47"/>
      <c r="I21" s="47"/>
      <c r="J21" s="49" t="s">
        <v>96</v>
      </c>
      <c r="K21" s="40">
        <f>E11-(K18-E9)</f>
        <v>25</v>
      </c>
      <c r="M21" s="78" t="s">
        <v>28</v>
      </c>
    </row>
    <row r="22" spans="1:13" ht="15" customHeight="1" x14ac:dyDescent="0.3">
      <c r="A22" s="10"/>
      <c r="B22" s="11"/>
      <c r="C22" s="11"/>
      <c r="D22" s="11" t="s">
        <v>5</v>
      </c>
      <c r="E22" s="45">
        <v>0.05</v>
      </c>
      <c r="F22" s="35"/>
      <c r="G22" s="47"/>
      <c r="H22" s="47"/>
      <c r="I22" s="47"/>
      <c r="J22" s="49" t="s">
        <v>43</v>
      </c>
      <c r="K22" s="40">
        <f>PV(E16,K18-E9-1,,-IF(K20=E16,K19*K21/(1+K20),K19*(((1+K20)/(1+E16))^K21-1)/(K20-E16)),1)</f>
        <v>94930.904538412273</v>
      </c>
      <c r="M22" s="78" t="s">
        <v>38</v>
      </c>
    </row>
    <row r="23" spans="1:13" ht="15" customHeight="1" x14ac:dyDescent="0.25">
      <c r="A23" s="10"/>
      <c r="B23" s="11"/>
      <c r="C23" s="11"/>
      <c r="D23" s="11"/>
      <c r="E23" s="11"/>
      <c r="G23" s="47"/>
      <c r="H23" s="47"/>
      <c r="I23" s="47"/>
      <c r="J23" s="47"/>
      <c r="K23" s="47"/>
      <c r="M23" s="78"/>
    </row>
    <row r="24" spans="1:13" ht="15" customHeight="1" x14ac:dyDescent="0.25">
      <c r="A24" s="55" t="s">
        <v>54</v>
      </c>
      <c r="B24" s="53"/>
      <c r="C24" s="53"/>
      <c r="D24" s="53"/>
      <c r="E24" s="53"/>
      <c r="G24" s="56" t="s">
        <v>97</v>
      </c>
      <c r="H24" s="57"/>
      <c r="I24" s="57"/>
      <c r="J24" s="57"/>
      <c r="K24" s="58"/>
      <c r="M24" s="78" t="s">
        <v>30</v>
      </c>
    </row>
    <row r="25" spans="1:13" ht="15" customHeight="1" x14ac:dyDescent="0.3">
      <c r="A25" s="10"/>
      <c r="B25" s="11"/>
      <c r="C25" s="11"/>
      <c r="D25" s="32" t="s">
        <v>83</v>
      </c>
      <c r="E25" s="45">
        <v>0</v>
      </c>
      <c r="G25" s="47"/>
      <c r="H25" s="47"/>
      <c r="I25" s="47"/>
      <c r="J25" s="49" t="s">
        <v>50</v>
      </c>
      <c r="K25" s="39">
        <v>0</v>
      </c>
      <c r="M25" s="78" t="s">
        <v>31</v>
      </c>
    </row>
    <row r="26" spans="1:13" ht="15" customHeight="1" x14ac:dyDescent="0.3">
      <c r="A26" s="10"/>
      <c r="B26" s="11"/>
      <c r="C26" s="11"/>
      <c r="D26" s="79" t="s">
        <v>95</v>
      </c>
      <c r="E26" s="45">
        <v>0</v>
      </c>
      <c r="K26" s="80" t="str">
        <f>IF(K27&lt;0,"Note: There is a surplus. Some results might not apply.",".")</f>
        <v>Note: There is a surplus. Some results might not apply.</v>
      </c>
      <c r="M26" s="78" t="s">
        <v>73</v>
      </c>
    </row>
    <row r="27" spans="1:13" ht="15" customHeight="1" x14ac:dyDescent="0.3">
      <c r="A27" s="10"/>
      <c r="B27" s="11"/>
      <c r="C27" s="11"/>
      <c r="D27" s="79" t="s">
        <v>84</v>
      </c>
      <c r="E27" s="45">
        <f>E25</f>
        <v>0</v>
      </c>
      <c r="G27" s="63"/>
      <c r="H27" s="63"/>
      <c r="I27" s="63"/>
      <c r="J27" s="64" t="s">
        <v>46</v>
      </c>
      <c r="K27" s="81">
        <f>K10-K14-K15-K22-K25</f>
        <v>-723455.62353506323</v>
      </c>
      <c r="M27" s="78" t="s">
        <v>74</v>
      </c>
    </row>
    <row r="28" spans="1:13" ht="15" customHeight="1" x14ac:dyDescent="0.25">
      <c r="A28" s="10"/>
      <c r="B28" s="11"/>
      <c r="C28" s="11"/>
      <c r="D28" s="32" t="s">
        <v>85</v>
      </c>
      <c r="E28" s="52">
        <f>E21*E25</f>
        <v>0</v>
      </c>
      <c r="G28" s="65"/>
      <c r="H28" s="65"/>
      <c r="I28" s="65"/>
      <c r="J28" s="66" t="s">
        <v>62</v>
      </c>
      <c r="K28" s="71">
        <f>IF(K9=0," - ",NPER((1+E16)/(1+E17)-1,-IF(E45=1,K9,K9/(1+E17)),K10-K27,,E45))</f>
        <v>31.848334797084799</v>
      </c>
      <c r="M28" s="78"/>
    </row>
    <row r="29" spans="1:13" ht="14" x14ac:dyDescent="0.25">
      <c r="A29" s="10"/>
      <c r="B29" s="11"/>
      <c r="C29" s="11"/>
      <c r="D29" s="32" t="s">
        <v>86</v>
      </c>
      <c r="E29" s="52">
        <f>E21*MIN(E25,E27)*E26</f>
        <v>0</v>
      </c>
      <c r="G29" s="67"/>
      <c r="H29" s="65"/>
      <c r="I29" s="65"/>
      <c r="J29" s="66" t="s">
        <v>52</v>
      </c>
      <c r="K29" s="82">
        <f>K27/IF(E22=E15,(E12*E44)*(1+E15/E44)^(E12*E44)/(1+E22/E44),(((1+E22/E44)^(E12*E44)-(1+E15/E44)^(E12*E44))/(E22/E44-E15/E44)))*E44</f>
        <v>-8878.4942447114518</v>
      </c>
      <c r="M29" s="78" t="s">
        <v>98</v>
      </c>
    </row>
    <row r="30" spans="1:13" ht="14" x14ac:dyDescent="0.25">
      <c r="A30" s="10"/>
      <c r="B30" s="11"/>
      <c r="C30" s="11"/>
      <c r="D30" s="32" t="s">
        <v>87</v>
      </c>
      <c r="E30" s="52">
        <f>E28+E29</f>
        <v>0</v>
      </c>
      <c r="G30" s="65"/>
      <c r="H30" s="65"/>
      <c r="I30" s="65"/>
      <c r="J30" s="66" t="s">
        <v>48</v>
      </c>
      <c r="K30" s="68">
        <f>IF(((K29+E30)/E21/(1+E26))&gt;E27,(K29+E30)/E21-E27*E26,((K29+E30)/E21/(1+E26)))</f>
        <v>-2.4662484013087366E-2</v>
      </c>
      <c r="M30" s="78" t="s">
        <v>99</v>
      </c>
    </row>
    <row r="31" spans="1:13" ht="14" x14ac:dyDescent="0.25">
      <c r="A31" s="10"/>
      <c r="B31" s="11"/>
      <c r="C31" s="11"/>
      <c r="D31" s="32"/>
      <c r="E31" s="70" t="str">
        <f>IF(E25&lt;E27,"Employer Match is NOT Maximized",".")</f>
        <v>.</v>
      </c>
      <c r="H31" s="65"/>
      <c r="I31" s="65"/>
      <c r="J31" s="66" t="s">
        <v>100</v>
      </c>
      <c r="K31" s="82">
        <f>K29/12</f>
        <v>-739.87452039262098</v>
      </c>
    </row>
    <row r="32" spans="1:13" ht="14" x14ac:dyDescent="0.25">
      <c r="B32" s="75"/>
      <c r="C32" s="75"/>
      <c r="D32" s="76"/>
      <c r="E32" s="77"/>
      <c r="J32" s="69"/>
      <c r="M32" s="78" t="s">
        <v>63</v>
      </c>
    </row>
    <row r="33" spans="1:13" x14ac:dyDescent="0.25">
      <c r="J33" s="69"/>
      <c r="M33" s="78" t="s">
        <v>64</v>
      </c>
    </row>
    <row r="34" spans="1:13" x14ac:dyDescent="0.25">
      <c r="M34" s="78" t="s">
        <v>65</v>
      </c>
    </row>
    <row r="36" spans="1:13" x14ac:dyDescent="0.25">
      <c r="J36" s="1"/>
    </row>
    <row r="37" spans="1:13" x14ac:dyDescent="0.25">
      <c r="J37" s="1"/>
    </row>
    <row r="38" spans="1:13" x14ac:dyDescent="0.25">
      <c r="J38" s="1"/>
    </row>
    <row r="39" spans="1:13" x14ac:dyDescent="0.25">
      <c r="J39" s="1"/>
    </row>
    <row r="40" spans="1:13" x14ac:dyDescent="0.25">
      <c r="J40" s="1"/>
    </row>
    <row r="41" spans="1:13" x14ac:dyDescent="0.25">
      <c r="J41" s="1"/>
    </row>
    <row r="42" spans="1:13" x14ac:dyDescent="0.25">
      <c r="D42" s="60" t="s">
        <v>55</v>
      </c>
      <c r="E42" s="60" t="str">
        <f>IFERROR("Goal: Saving "&amp;ROUND(K30*100,2)&amp;"% of Salary","Table Not Applicable")</f>
        <v>Goal: Saving -2.47% of Salary</v>
      </c>
      <c r="J42" s="1"/>
    </row>
    <row r="43" spans="1:13" x14ac:dyDescent="0.25">
      <c r="D43" s="60" t="s">
        <v>56</v>
      </c>
      <c r="E43" s="60" t="str">
        <f>IF(E8=E9,"No Accumulation Phase","Current: Saving "&amp;ROUND(E25*100,2)&amp;"% of Salary")</f>
        <v>Current: Saving 0% of Salary</v>
      </c>
      <c r="J43" s="1"/>
    </row>
    <row r="44" spans="1:13" ht="14" x14ac:dyDescent="0.3">
      <c r="A44" s="60"/>
      <c r="B44" s="60"/>
      <c r="C44" s="60"/>
      <c r="D44" s="61" t="s">
        <v>7</v>
      </c>
      <c r="E44" s="62">
        <v>1</v>
      </c>
      <c r="J44" s="1"/>
    </row>
    <row r="45" spans="1:13" s="87" customFormat="1" ht="14" x14ac:dyDescent="0.3">
      <c r="A45" s="60"/>
      <c r="B45" s="60"/>
      <c r="C45" s="60"/>
      <c r="D45" s="61" t="s">
        <v>21</v>
      </c>
      <c r="E45" s="62">
        <v>1</v>
      </c>
      <c r="J45" s="1"/>
    </row>
    <row r="46" spans="1:13" x14ac:dyDescent="0.25">
      <c r="J46" s="1"/>
      <c r="K46" s="41" t="s">
        <v>29</v>
      </c>
    </row>
    <row r="47" spans="1:13" ht="26" thickBot="1" x14ac:dyDescent="0.3">
      <c r="A47" s="87"/>
      <c r="B47" s="87"/>
      <c r="C47" s="87"/>
      <c r="D47" s="87"/>
      <c r="E47" s="87"/>
      <c r="F47" s="15"/>
      <c r="G47" s="15" t="s">
        <v>26</v>
      </c>
      <c r="H47" s="43" t="s">
        <v>34</v>
      </c>
      <c r="I47" s="33" t="s">
        <v>18</v>
      </c>
      <c r="J47" s="43" t="s">
        <v>76</v>
      </c>
      <c r="K47" s="16" t="s">
        <v>0</v>
      </c>
    </row>
    <row r="48" spans="1:13" ht="15" customHeight="1" x14ac:dyDescent="0.25">
      <c r="A48" s="3" t="str">
        <f>IFERROR("Table Based on "&amp;TEXT(K30,"0.00%")&amp;" Salary Contribution Scenario","Table Not Applicable")</f>
        <v>Table Based on -2.47% Salary Contribution Scenario</v>
      </c>
      <c r="F48" s="13"/>
      <c r="G48" s="13"/>
      <c r="H48" s="13"/>
      <c r="I48" s="12"/>
      <c r="J48" s="12"/>
      <c r="K48" s="14">
        <f>$K$13</f>
        <v>1000000</v>
      </c>
    </row>
    <row r="49" spans="1:13" ht="25.5" thickBot="1" x14ac:dyDescent="0.3">
      <c r="A49" s="15" t="s">
        <v>3</v>
      </c>
      <c r="B49" s="15" t="s">
        <v>4</v>
      </c>
      <c r="C49" s="15" t="s">
        <v>8</v>
      </c>
      <c r="D49" s="15" t="s">
        <v>20</v>
      </c>
      <c r="E49" s="15" t="s">
        <v>6</v>
      </c>
      <c r="F49" s="7" t="str">
        <f t="shared" ref="F49:F80" si="0">IF(ISERROR(A51),NA(),"")</f>
        <v/>
      </c>
      <c r="G49" s="7">
        <f t="shared" ref="G49:G80" si="1">IF(ISERROR(A51),NA(),IF(A51&lt;=$E$12,MIN($E$26*E51,$E$27*$E$26*D51),0))</f>
        <v>0</v>
      </c>
      <c r="H49" s="7">
        <f t="shared" ref="H49:H80" si="2">IF(ISERROR(A51),NA(),IF(ISERROR(B51),0,IF(AND(B51&gt;=$K$18,B51&lt;($K$18+$K$21)),$K$19*(1+$K$20)^(B51-$K$18),0)))</f>
        <v>0</v>
      </c>
      <c r="I49" s="7">
        <f t="shared" ref="I49:I80" si="3">IF(ISERROR(A51),NA(),IF(B51&gt;=$E$9,D51-H49,0))</f>
        <v>0</v>
      </c>
      <c r="J49" s="8">
        <f t="shared" ref="J49:J80" si="4">IF(ISERROR(A51),NA(),FV(C51/$E$44,$E$44,-(E51+G49)/$E$44,-(K48-I49*$E$45),0)-(K48+E51+G49-I49*$E$45))</f>
        <v>100000</v>
      </c>
      <c r="K49" s="8">
        <f t="shared" ref="K49:K80" si="5">IF(ISERROR(A51),NA(),K48+E51+G49+J49-I49)</f>
        <v>1091121.5057552885</v>
      </c>
      <c r="M49" s="44"/>
    </row>
    <row r="50" spans="1:13" x14ac:dyDescent="0.25">
      <c r="A50" s="12"/>
      <c r="B50" s="12"/>
      <c r="C50" s="12"/>
      <c r="D50" s="13"/>
      <c r="E50" s="13"/>
      <c r="F50" s="7" t="str">
        <f t="shared" si="0"/>
        <v/>
      </c>
      <c r="G50" s="7">
        <f t="shared" si="1"/>
        <v>0</v>
      </c>
      <c r="H50" s="7">
        <f t="shared" si="2"/>
        <v>0</v>
      </c>
      <c r="I50" s="7">
        <f t="shared" si="3"/>
        <v>0</v>
      </c>
      <c r="J50" s="8">
        <f t="shared" si="4"/>
        <v>109112.15057552885</v>
      </c>
      <c r="K50" s="8">
        <f t="shared" si="5"/>
        <v>1190911.2373738703</v>
      </c>
      <c r="M50" s="44"/>
    </row>
    <row r="51" spans="1:13" x14ac:dyDescent="0.25">
      <c r="A51" s="4">
        <f t="shared" ref="A51:A82" si="6">IF($E$8&gt;=$E$9,NA(),IF(A50&lt;($E$9-$E$8)+$E$11,A50+1,NA()))</f>
        <v>1</v>
      </c>
      <c r="B51" s="4">
        <f t="shared" ref="B51:B104" si="7">IF(ISERROR(A51),NA(),$E$8+A51-1)</f>
        <v>45</v>
      </c>
      <c r="C51" s="5">
        <f t="shared" ref="C51:C82" si="8">IF(ISERROR(A51),NA(),IF(B51&lt;$E$9,$E$15,$E$16))</f>
        <v>0.1</v>
      </c>
      <c r="D51" s="6">
        <f>IF(E8&gt;=E9,K8,E21)</f>
        <v>360000</v>
      </c>
      <c r="E51" s="7">
        <f t="shared" ref="E51:E82" si="9">IF(ISERROR(A51),NA(),IF(B51=$E$9-1,$K$25,0)+IF(A51&lt;=$E$12,$K$30*D51,0))</f>
        <v>-8878.4942447114518</v>
      </c>
      <c r="F51" s="7" t="str">
        <f t="shared" si="0"/>
        <v/>
      </c>
      <c r="G51" s="7">
        <f t="shared" si="1"/>
        <v>0</v>
      </c>
      <c r="H51" s="7">
        <f t="shared" si="2"/>
        <v>0</v>
      </c>
      <c r="I51" s="7">
        <f t="shared" si="3"/>
        <v>0</v>
      </c>
      <c r="J51" s="8">
        <f t="shared" si="4"/>
        <v>119091.12373738713</v>
      </c>
      <c r="K51" s="8">
        <f t="shared" si="5"/>
        <v>1300213.821206463</v>
      </c>
      <c r="M51" s="44"/>
    </row>
    <row r="52" spans="1:13" x14ac:dyDescent="0.25">
      <c r="A52" s="4">
        <f t="shared" si="6"/>
        <v>2</v>
      </c>
      <c r="B52" s="4">
        <f t="shared" si="7"/>
        <v>46</v>
      </c>
      <c r="C52" s="5">
        <f t="shared" si="8"/>
        <v>0.1</v>
      </c>
      <c r="D52" s="7">
        <f t="shared" ref="D52:D83" si="10">IF(ISERROR(A52),NA(),IF(B52&gt;=$E$9,$K$9*(1+$E$17)^(B52-$E$9),(1+$E$22)*D51))</f>
        <v>378000</v>
      </c>
      <c r="E52" s="7">
        <f t="shared" si="9"/>
        <v>-9322.4189569470236</v>
      </c>
      <c r="F52" s="7" t="str">
        <f t="shared" si="0"/>
        <v/>
      </c>
      <c r="G52" s="7">
        <f t="shared" si="1"/>
        <v>0</v>
      </c>
      <c r="H52" s="7">
        <f t="shared" si="2"/>
        <v>0</v>
      </c>
      <c r="I52" s="7">
        <f t="shared" si="3"/>
        <v>0</v>
      </c>
      <c r="J52" s="8">
        <f t="shared" si="4"/>
        <v>130021.3821206463</v>
      </c>
      <c r="K52" s="8">
        <f t="shared" si="5"/>
        <v>1419957.2364270752</v>
      </c>
      <c r="M52" s="44"/>
    </row>
    <row r="53" spans="1:13" x14ac:dyDescent="0.25">
      <c r="A53" s="4">
        <f t="shared" si="6"/>
        <v>3</v>
      </c>
      <c r="B53" s="4">
        <f t="shared" si="7"/>
        <v>47</v>
      </c>
      <c r="C53" s="5">
        <f t="shared" si="8"/>
        <v>0.1</v>
      </c>
      <c r="D53" s="7">
        <f t="shared" si="10"/>
        <v>396900</v>
      </c>
      <c r="E53" s="7">
        <f t="shared" si="9"/>
        <v>-9788.5399047943756</v>
      </c>
      <c r="F53" s="7" t="str">
        <f t="shared" si="0"/>
        <v/>
      </c>
      <c r="G53" s="7">
        <f t="shared" si="1"/>
        <v>0</v>
      </c>
      <c r="H53" s="7">
        <f t="shared" si="2"/>
        <v>0</v>
      </c>
      <c r="I53" s="7">
        <f t="shared" si="3"/>
        <v>0</v>
      </c>
      <c r="J53" s="8">
        <f t="shared" si="4"/>
        <v>141995.72364270757</v>
      </c>
      <c r="K53" s="8">
        <f t="shared" si="5"/>
        <v>1551161.0948247469</v>
      </c>
      <c r="M53" s="44"/>
    </row>
    <row r="54" spans="1:13" x14ac:dyDescent="0.25">
      <c r="A54" s="4">
        <f t="shared" si="6"/>
        <v>4</v>
      </c>
      <c r="B54" s="4">
        <f t="shared" si="7"/>
        <v>48</v>
      </c>
      <c r="C54" s="5">
        <f t="shared" si="8"/>
        <v>0.1</v>
      </c>
      <c r="D54" s="7">
        <f t="shared" si="10"/>
        <v>416745</v>
      </c>
      <c r="E54" s="7">
        <f t="shared" si="9"/>
        <v>-10277.966900034095</v>
      </c>
      <c r="F54" s="7" t="str">
        <f t="shared" si="0"/>
        <v/>
      </c>
      <c r="G54" s="7">
        <f t="shared" si="1"/>
        <v>0</v>
      </c>
      <c r="H54" s="7">
        <f t="shared" si="2"/>
        <v>0</v>
      </c>
      <c r="I54" s="7">
        <f t="shared" si="3"/>
        <v>0</v>
      </c>
      <c r="J54" s="8">
        <f t="shared" si="4"/>
        <v>155116.10948247486</v>
      </c>
      <c r="K54" s="8">
        <f t="shared" si="5"/>
        <v>1694945.7457999343</v>
      </c>
      <c r="M54" s="44"/>
    </row>
    <row r="55" spans="1:13" x14ac:dyDescent="0.25">
      <c r="A55" s="4">
        <f t="shared" si="6"/>
        <v>5</v>
      </c>
      <c r="B55" s="4">
        <f t="shared" si="7"/>
        <v>49</v>
      </c>
      <c r="C55" s="5">
        <f t="shared" si="8"/>
        <v>0.1</v>
      </c>
      <c r="D55" s="7">
        <f t="shared" si="10"/>
        <v>437582.25</v>
      </c>
      <c r="E55" s="7">
        <f t="shared" si="9"/>
        <v>-10791.865245035799</v>
      </c>
      <c r="F55" s="7" t="str">
        <f t="shared" si="0"/>
        <v/>
      </c>
      <c r="G55" s="7">
        <f t="shared" si="1"/>
        <v>0</v>
      </c>
      <c r="H55" s="7">
        <f t="shared" si="2"/>
        <v>0</v>
      </c>
      <c r="I55" s="7">
        <f t="shared" si="3"/>
        <v>0</v>
      </c>
      <c r="J55" s="8">
        <f t="shared" si="4"/>
        <v>169494.5745799935</v>
      </c>
      <c r="K55" s="8">
        <f t="shared" si="5"/>
        <v>1852542.2889472758</v>
      </c>
      <c r="M55" s="44"/>
    </row>
    <row r="56" spans="1:13" x14ac:dyDescent="0.25">
      <c r="A56" s="4">
        <f t="shared" si="6"/>
        <v>6</v>
      </c>
      <c r="B56" s="4">
        <f t="shared" si="7"/>
        <v>50</v>
      </c>
      <c r="C56" s="5">
        <f t="shared" si="8"/>
        <v>0.1</v>
      </c>
      <c r="D56" s="7">
        <f t="shared" si="10"/>
        <v>459461.36250000005</v>
      </c>
      <c r="E56" s="7">
        <f t="shared" si="9"/>
        <v>-11331.458507287591</v>
      </c>
      <c r="F56" s="7" t="str">
        <f t="shared" si="0"/>
        <v/>
      </c>
      <c r="G56" s="7">
        <f t="shared" si="1"/>
        <v>0</v>
      </c>
      <c r="H56" s="7">
        <f t="shared" si="2"/>
        <v>0</v>
      </c>
      <c r="I56" s="7">
        <f t="shared" si="3"/>
        <v>0</v>
      </c>
      <c r="J56" s="8">
        <f t="shared" si="4"/>
        <v>185254.22889472777</v>
      </c>
      <c r="K56" s="8">
        <f t="shared" si="5"/>
        <v>2025303.5848377191</v>
      </c>
      <c r="M56" s="44"/>
    </row>
    <row r="57" spans="1:13" x14ac:dyDescent="0.25">
      <c r="A57" s="4">
        <f t="shared" si="6"/>
        <v>7</v>
      </c>
      <c r="B57" s="4">
        <f t="shared" si="7"/>
        <v>51</v>
      </c>
      <c r="C57" s="5">
        <f t="shared" si="8"/>
        <v>0.1</v>
      </c>
      <c r="D57" s="7">
        <f t="shared" si="10"/>
        <v>482434.4306250001</v>
      </c>
      <c r="E57" s="7">
        <f t="shared" si="9"/>
        <v>-11898.031432651971</v>
      </c>
      <c r="F57" s="7" t="str">
        <f t="shared" si="0"/>
        <v/>
      </c>
      <c r="G57" s="7">
        <f t="shared" si="1"/>
        <v>0</v>
      </c>
      <c r="H57" s="7">
        <f t="shared" si="2"/>
        <v>0</v>
      </c>
      <c r="I57" s="7">
        <f t="shared" si="3"/>
        <v>0</v>
      </c>
      <c r="J57" s="8">
        <f t="shared" si="4"/>
        <v>202530.35848377179</v>
      </c>
      <c r="K57" s="8">
        <f t="shared" si="5"/>
        <v>2214716.3636669922</v>
      </c>
      <c r="M57" s="44"/>
    </row>
    <row r="58" spans="1:13" x14ac:dyDescent="0.25">
      <c r="A58" s="4">
        <f t="shared" si="6"/>
        <v>8</v>
      </c>
      <c r="B58" s="4">
        <f t="shared" si="7"/>
        <v>52</v>
      </c>
      <c r="C58" s="5">
        <f t="shared" si="8"/>
        <v>0.1</v>
      </c>
      <c r="D58" s="7">
        <f t="shared" si="10"/>
        <v>506556.15215625014</v>
      </c>
      <c r="E58" s="7">
        <f t="shared" si="9"/>
        <v>-12492.93300428457</v>
      </c>
      <c r="F58" s="7" t="str">
        <f t="shared" si="0"/>
        <v/>
      </c>
      <c r="G58" s="7">
        <f t="shared" si="1"/>
        <v>0</v>
      </c>
      <c r="H58" s="7">
        <f t="shared" si="2"/>
        <v>0</v>
      </c>
      <c r="I58" s="7">
        <f t="shared" si="3"/>
        <v>0</v>
      </c>
      <c r="J58" s="8">
        <f t="shared" si="4"/>
        <v>221471.63636669936</v>
      </c>
      <c r="K58" s="8">
        <f t="shared" si="5"/>
        <v>2422414.5413964679</v>
      </c>
      <c r="M58" s="44"/>
    </row>
    <row r="59" spans="1:13" x14ac:dyDescent="0.25">
      <c r="A59" s="4">
        <f t="shared" si="6"/>
        <v>9</v>
      </c>
      <c r="B59" s="4">
        <f t="shared" si="7"/>
        <v>53</v>
      </c>
      <c r="C59" s="5">
        <f t="shared" si="8"/>
        <v>0.1</v>
      </c>
      <c r="D59" s="7">
        <f t="shared" si="10"/>
        <v>531883.95976406266</v>
      </c>
      <c r="E59" s="7">
        <f t="shared" si="9"/>
        <v>-13117.579654498799</v>
      </c>
      <c r="F59" s="7" t="str">
        <f t="shared" si="0"/>
        <v/>
      </c>
      <c r="G59" s="7">
        <f t="shared" si="1"/>
        <v>0</v>
      </c>
      <c r="H59" s="7">
        <f t="shared" si="2"/>
        <v>0</v>
      </c>
      <c r="I59" s="7">
        <f t="shared" si="3"/>
        <v>0</v>
      </c>
      <c r="J59" s="8">
        <f t="shared" si="4"/>
        <v>242241.45413964707</v>
      </c>
      <c r="K59" s="8">
        <f t="shared" si="5"/>
        <v>2650193.8639670303</v>
      </c>
      <c r="M59" s="44"/>
    </row>
    <row r="60" spans="1:13" x14ac:dyDescent="0.25">
      <c r="A60" s="4">
        <f t="shared" si="6"/>
        <v>10</v>
      </c>
      <c r="B60" s="4">
        <f t="shared" si="7"/>
        <v>54</v>
      </c>
      <c r="C60" s="5">
        <f t="shared" si="8"/>
        <v>0.1</v>
      </c>
      <c r="D60" s="7">
        <f t="shared" si="10"/>
        <v>558478.1577522658</v>
      </c>
      <c r="E60" s="7">
        <f t="shared" si="9"/>
        <v>-13773.458637223739</v>
      </c>
      <c r="F60" s="7" t="str">
        <f t="shared" si="0"/>
        <v/>
      </c>
      <c r="G60" s="7">
        <f t="shared" si="1"/>
        <v>0</v>
      </c>
      <c r="H60" s="7">
        <f t="shared" si="2"/>
        <v>0</v>
      </c>
      <c r="I60" s="7">
        <f t="shared" si="3"/>
        <v>0</v>
      </c>
      <c r="J60" s="8">
        <f t="shared" si="4"/>
        <v>265019.38639670331</v>
      </c>
      <c r="K60" s="8">
        <f t="shared" si="5"/>
        <v>2900028.0122161945</v>
      </c>
      <c r="M60" s="44"/>
    </row>
    <row r="61" spans="1:13" x14ac:dyDescent="0.25">
      <c r="A61" s="4">
        <f t="shared" si="6"/>
        <v>11</v>
      </c>
      <c r="B61" s="4">
        <f t="shared" si="7"/>
        <v>55</v>
      </c>
      <c r="C61" s="5">
        <f t="shared" si="8"/>
        <v>0.1</v>
      </c>
      <c r="D61" s="7">
        <f t="shared" si="10"/>
        <v>586402.06563987909</v>
      </c>
      <c r="E61" s="7">
        <f t="shared" si="9"/>
        <v>-14462.131569084926</v>
      </c>
      <c r="F61" s="7" t="str">
        <f t="shared" si="0"/>
        <v/>
      </c>
      <c r="G61" s="7">
        <f t="shared" si="1"/>
        <v>0</v>
      </c>
      <c r="H61" s="7">
        <f t="shared" si="2"/>
        <v>0</v>
      </c>
      <c r="I61" s="7">
        <f t="shared" si="3"/>
        <v>0</v>
      </c>
      <c r="J61" s="8">
        <f t="shared" si="4"/>
        <v>290002.80122161936</v>
      </c>
      <c r="K61" s="8">
        <f t="shared" si="5"/>
        <v>3174086.313382898</v>
      </c>
      <c r="M61" s="44"/>
    </row>
    <row r="62" spans="1:13" x14ac:dyDescent="0.25">
      <c r="A62" s="4">
        <f t="shared" si="6"/>
        <v>12</v>
      </c>
      <c r="B62" s="4">
        <f t="shared" si="7"/>
        <v>56</v>
      </c>
      <c r="C62" s="5">
        <f t="shared" si="8"/>
        <v>0.1</v>
      </c>
      <c r="D62" s="7">
        <f t="shared" si="10"/>
        <v>615722.16892187309</v>
      </c>
      <c r="E62" s="7">
        <f t="shared" si="9"/>
        <v>-15185.238147539174</v>
      </c>
      <c r="F62" s="7" t="str">
        <f t="shared" si="0"/>
        <v/>
      </c>
      <c r="G62" s="7">
        <f t="shared" si="1"/>
        <v>0</v>
      </c>
      <c r="H62" s="7">
        <f t="shared" si="2"/>
        <v>0</v>
      </c>
      <c r="I62" s="7">
        <f t="shared" si="3"/>
        <v>0</v>
      </c>
      <c r="J62" s="8">
        <f t="shared" si="4"/>
        <v>317408.63133828994</v>
      </c>
      <c r="K62" s="8">
        <f t="shared" si="5"/>
        <v>3474753.2196635259</v>
      </c>
      <c r="M62" s="44"/>
    </row>
    <row r="63" spans="1:13" x14ac:dyDescent="0.25">
      <c r="A63" s="4">
        <f t="shared" si="6"/>
        <v>13</v>
      </c>
      <c r="B63" s="4">
        <f t="shared" si="7"/>
        <v>57</v>
      </c>
      <c r="C63" s="5">
        <f t="shared" si="8"/>
        <v>0.1</v>
      </c>
      <c r="D63" s="7">
        <f t="shared" si="10"/>
        <v>646508.27736796672</v>
      </c>
      <c r="E63" s="7">
        <f t="shared" si="9"/>
        <v>-15944.500054916132</v>
      </c>
      <c r="F63" s="7" t="str">
        <f t="shared" si="0"/>
        <v/>
      </c>
      <c r="G63" s="7">
        <f t="shared" si="1"/>
        <v>0</v>
      </c>
      <c r="H63" s="7">
        <f t="shared" si="2"/>
        <v>0</v>
      </c>
      <c r="I63" s="7">
        <f t="shared" si="3"/>
        <v>0</v>
      </c>
      <c r="J63" s="8">
        <f t="shared" si="4"/>
        <v>347475.32196635287</v>
      </c>
      <c r="K63" s="8">
        <f t="shared" si="5"/>
        <v>3804649.7303193337</v>
      </c>
      <c r="M63" s="44"/>
    </row>
    <row r="64" spans="1:13" x14ac:dyDescent="0.25">
      <c r="A64" s="4">
        <f t="shared" si="6"/>
        <v>14</v>
      </c>
      <c r="B64" s="4">
        <f t="shared" si="7"/>
        <v>58</v>
      </c>
      <c r="C64" s="5">
        <f t="shared" si="8"/>
        <v>0.1</v>
      </c>
      <c r="D64" s="7">
        <f t="shared" si="10"/>
        <v>678833.69123636512</v>
      </c>
      <c r="E64" s="7">
        <f t="shared" si="9"/>
        <v>-16741.725057661941</v>
      </c>
      <c r="F64" s="7" t="str">
        <f t="shared" si="0"/>
        <v/>
      </c>
      <c r="G64" s="7">
        <f t="shared" si="1"/>
        <v>0</v>
      </c>
      <c r="H64" s="7">
        <f t="shared" si="2"/>
        <v>0</v>
      </c>
      <c r="I64" s="7">
        <f t="shared" si="3"/>
        <v>0</v>
      </c>
      <c r="J64" s="8">
        <f t="shared" si="4"/>
        <v>380464.97303193389</v>
      </c>
      <c r="K64" s="8">
        <f t="shared" si="5"/>
        <v>4166656.9514751951</v>
      </c>
      <c r="M64" s="44"/>
    </row>
    <row r="65" spans="1:13" x14ac:dyDescent="0.25">
      <c r="A65" s="4">
        <f t="shared" si="6"/>
        <v>15</v>
      </c>
      <c r="B65" s="4">
        <f t="shared" si="7"/>
        <v>59</v>
      </c>
      <c r="C65" s="5">
        <f t="shared" si="8"/>
        <v>0.1</v>
      </c>
      <c r="D65" s="7">
        <f t="shared" si="10"/>
        <v>712775.37579818338</v>
      </c>
      <c r="E65" s="7">
        <f t="shared" si="9"/>
        <v>-17578.811310545036</v>
      </c>
      <c r="F65" s="7" t="str">
        <f t="shared" si="0"/>
        <v/>
      </c>
      <c r="G65" s="7">
        <f t="shared" si="1"/>
        <v>0</v>
      </c>
      <c r="H65" s="7">
        <f t="shared" si="2"/>
        <v>0</v>
      </c>
      <c r="I65" s="7">
        <f t="shared" si="3"/>
        <v>0</v>
      </c>
      <c r="J65" s="8">
        <f t="shared" si="4"/>
        <v>416665.69514751947</v>
      </c>
      <c r="K65" s="8">
        <f t="shared" si="5"/>
        <v>4563942.0071528386</v>
      </c>
      <c r="M65" s="44"/>
    </row>
    <row r="66" spans="1:13" x14ac:dyDescent="0.25">
      <c r="A66" s="4">
        <f t="shared" si="6"/>
        <v>16</v>
      </c>
      <c r="B66" s="4">
        <f t="shared" si="7"/>
        <v>60</v>
      </c>
      <c r="C66" s="5">
        <f t="shared" si="8"/>
        <v>0.1</v>
      </c>
      <c r="D66" s="7">
        <f t="shared" si="10"/>
        <v>748414.14458809257</v>
      </c>
      <c r="E66" s="7">
        <f t="shared" si="9"/>
        <v>-18457.751876072289</v>
      </c>
      <c r="F66" s="7" t="str">
        <f t="shared" si="0"/>
        <v/>
      </c>
      <c r="G66" s="7">
        <f t="shared" si="1"/>
        <v>0</v>
      </c>
      <c r="H66" s="7">
        <f t="shared" si="2"/>
        <v>0</v>
      </c>
      <c r="I66" s="7">
        <f t="shared" si="3"/>
        <v>0</v>
      </c>
      <c r="J66" s="8">
        <f t="shared" si="4"/>
        <v>456394.20071528293</v>
      </c>
      <c r="K66" s="8">
        <f t="shared" si="5"/>
        <v>4999986.5364247523</v>
      </c>
      <c r="M66" s="44"/>
    </row>
    <row r="67" spans="1:13" x14ac:dyDescent="0.25">
      <c r="A67" s="4">
        <f t="shared" si="6"/>
        <v>17</v>
      </c>
      <c r="B67" s="4">
        <f t="shared" si="7"/>
        <v>61</v>
      </c>
      <c r="C67" s="5">
        <f t="shared" si="8"/>
        <v>0.1</v>
      </c>
      <c r="D67" s="7">
        <f t="shared" si="10"/>
        <v>785834.85181749729</v>
      </c>
      <c r="E67" s="7">
        <f t="shared" si="9"/>
        <v>-19380.639469875907</v>
      </c>
      <c r="F67" s="7" t="str">
        <f t="shared" si="0"/>
        <v/>
      </c>
      <c r="G67" s="7">
        <f t="shared" si="1"/>
        <v>0</v>
      </c>
      <c r="H67" s="7">
        <f t="shared" si="2"/>
        <v>0</v>
      </c>
      <c r="I67" s="7">
        <f t="shared" si="3"/>
        <v>0</v>
      </c>
      <c r="J67" s="8">
        <f t="shared" si="4"/>
        <v>499998.65364247561</v>
      </c>
      <c r="K67" s="8">
        <f t="shared" si="5"/>
        <v>5478618.0350516895</v>
      </c>
      <c r="M67" s="44"/>
    </row>
    <row r="68" spans="1:13" x14ac:dyDescent="0.25">
      <c r="A68" s="4">
        <f t="shared" si="6"/>
        <v>18</v>
      </c>
      <c r="B68" s="4">
        <f t="shared" si="7"/>
        <v>62</v>
      </c>
      <c r="C68" s="5">
        <f t="shared" si="8"/>
        <v>0.1</v>
      </c>
      <c r="D68" s="7">
        <f t="shared" si="10"/>
        <v>825126.59440837218</v>
      </c>
      <c r="E68" s="7">
        <f t="shared" si="9"/>
        <v>-20349.671443369702</v>
      </c>
      <c r="F68" s="7" t="str">
        <f t="shared" si="0"/>
        <v/>
      </c>
      <c r="G68" s="7">
        <f t="shared" si="1"/>
        <v>0</v>
      </c>
      <c r="H68" s="7">
        <f t="shared" si="2"/>
        <v>0</v>
      </c>
      <c r="I68" s="7">
        <f t="shared" si="3"/>
        <v>0</v>
      </c>
      <c r="J68" s="8">
        <f t="shared" si="4"/>
        <v>547861.80350516923</v>
      </c>
      <c r="K68" s="8">
        <f t="shared" si="5"/>
        <v>6004044.325790544</v>
      </c>
      <c r="M68" s="44"/>
    </row>
    <row r="69" spans="1:13" x14ac:dyDescent="0.25">
      <c r="A69" s="4">
        <f t="shared" si="6"/>
        <v>19</v>
      </c>
      <c r="B69" s="4">
        <f t="shared" si="7"/>
        <v>63</v>
      </c>
      <c r="C69" s="5">
        <f t="shared" si="8"/>
        <v>0.1</v>
      </c>
      <c r="D69" s="7">
        <f t="shared" si="10"/>
        <v>866382.92412879085</v>
      </c>
      <c r="E69" s="7">
        <f t="shared" si="9"/>
        <v>-21367.155015538188</v>
      </c>
      <c r="F69" s="7" t="str">
        <f t="shared" si="0"/>
        <v/>
      </c>
      <c r="G69" s="7">
        <f t="shared" si="1"/>
        <v>0</v>
      </c>
      <c r="H69" s="7">
        <f t="shared" si="2"/>
        <v>3000</v>
      </c>
      <c r="I69" s="7">
        <f t="shared" si="3"/>
        <v>177611.12346694132</v>
      </c>
      <c r="J69" s="8">
        <f t="shared" si="4"/>
        <v>291321.66011618078</v>
      </c>
      <c r="K69" s="8">
        <f t="shared" si="5"/>
        <v>6117754.8624397833</v>
      </c>
      <c r="M69" s="44"/>
    </row>
    <row r="70" spans="1:13" x14ac:dyDescent="0.25">
      <c r="A70" s="4">
        <f t="shared" si="6"/>
        <v>20</v>
      </c>
      <c r="B70" s="4">
        <f t="shared" si="7"/>
        <v>64</v>
      </c>
      <c r="C70" s="5">
        <f t="shared" si="8"/>
        <v>0.1</v>
      </c>
      <c r="D70" s="7">
        <f t="shared" si="10"/>
        <v>909702.07033523044</v>
      </c>
      <c r="E70" s="7">
        <f t="shared" si="9"/>
        <v>-22435.5127663151</v>
      </c>
      <c r="F70" s="7" t="str">
        <f t="shared" si="0"/>
        <v/>
      </c>
      <c r="G70" s="7">
        <f t="shared" si="1"/>
        <v>0</v>
      </c>
      <c r="H70" s="7">
        <f t="shared" si="2"/>
        <v>3210</v>
      </c>
      <c r="I70" s="7">
        <f t="shared" si="3"/>
        <v>182819.45717094958</v>
      </c>
      <c r="J70" s="8">
        <f t="shared" si="4"/>
        <v>296746.77026344184</v>
      </c>
      <c r="K70" s="8">
        <f t="shared" si="5"/>
        <v>6231682.1755322758</v>
      </c>
      <c r="M70" s="44"/>
    </row>
    <row r="71" spans="1:13" x14ac:dyDescent="0.25">
      <c r="A71" s="4">
        <f t="shared" si="6"/>
        <v>21</v>
      </c>
      <c r="B71" s="4">
        <f t="shared" si="7"/>
        <v>65</v>
      </c>
      <c r="C71" s="5">
        <f t="shared" si="8"/>
        <v>0.05</v>
      </c>
      <c r="D71" s="7">
        <f t="shared" si="10"/>
        <v>180611.12346694132</v>
      </c>
      <c r="E71" s="7">
        <f t="shared" si="9"/>
        <v>0</v>
      </c>
      <c r="F71" s="7" t="str">
        <f t="shared" si="0"/>
        <v/>
      </c>
      <c r="G71" s="7">
        <f t="shared" si="1"/>
        <v>0</v>
      </c>
      <c r="H71" s="7">
        <f t="shared" si="2"/>
        <v>3434.7000000000003</v>
      </c>
      <c r="I71" s="7">
        <f t="shared" si="3"/>
        <v>188175.64088607804</v>
      </c>
      <c r="J71" s="8">
        <f t="shared" si="4"/>
        <v>302175.32673231047</v>
      </c>
      <c r="K71" s="8">
        <f t="shared" si="5"/>
        <v>6345681.8613785086</v>
      </c>
      <c r="M71" s="44"/>
    </row>
    <row r="72" spans="1:13" x14ac:dyDescent="0.25">
      <c r="A72" s="4">
        <f t="shared" si="6"/>
        <v>22</v>
      </c>
      <c r="B72" s="4">
        <f t="shared" si="7"/>
        <v>66</v>
      </c>
      <c r="C72" s="5">
        <f t="shared" si="8"/>
        <v>0.05</v>
      </c>
      <c r="D72" s="7">
        <f t="shared" si="10"/>
        <v>186029.45717094958</v>
      </c>
      <c r="E72" s="7">
        <f t="shared" si="9"/>
        <v>0</v>
      </c>
      <c r="F72" s="7" t="str">
        <f t="shared" si="0"/>
        <v/>
      </c>
      <c r="G72" s="7">
        <f t="shared" si="1"/>
        <v>0</v>
      </c>
      <c r="H72" s="7">
        <f t="shared" si="2"/>
        <v>3675.1290000000004</v>
      </c>
      <c r="I72" s="7">
        <f t="shared" si="3"/>
        <v>193683.5221126604</v>
      </c>
      <c r="J72" s="8">
        <f t="shared" si="4"/>
        <v>307599.91696329229</v>
      </c>
      <c r="K72" s="8">
        <f t="shared" si="5"/>
        <v>6459598.2562291408</v>
      </c>
      <c r="M72" s="44"/>
    </row>
    <row r="73" spans="1:13" x14ac:dyDescent="0.25">
      <c r="A73" s="4">
        <f t="shared" si="6"/>
        <v>23</v>
      </c>
      <c r="B73" s="4">
        <f t="shared" si="7"/>
        <v>67</v>
      </c>
      <c r="C73" s="5">
        <f t="shared" si="8"/>
        <v>0.05</v>
      </c>
      <c r="D73" s="7">
        <f t="shared" si="10"/>
        <v>191610.34088607805</v>
      </c>
      <c r="E73" s="7">
        <f t="shared" si="9"/>
        <v>0</v>
      </c>
      <c r="F73" s="7" t="str">
        <f t="shared" si="0"/>
        <v/>
      </c>
      <c r="G73" s="7">
        <f t="shared" si="1"/>
        <v>0</v>
      </c>
      <c r="H73" s="7">
        <f t="shared" si="2"/>
        <v>3932.3880300000001</v>
      </c>
      <c r="I73" s="7">
        <f t="shared" si="3"/>
        <v>199347.02261604019</v>
      </c>
      <c r="J73" s="8">
        <f t="shared" si="4"/>
        <v>313012.561680655</v>
      </c>
      <c r="K73" s="8">
        <f t="shared" si="5"/>
        <v>6573263.7952937558</v>
      </c>
      <c r="M73" s="44"/>
    </row>
    <row r="74" spans="1:13" x14ac:dyDescent="0.25">
      <c r="A74" s="4">
        <f t="shared" si="6"/>
        <v>24</v>
      </c>
      <c r="B74" s="4">
        <f t="shared" si="7"/>
        <v>68</v>
      </c>
      <c r="C74" s="5">
        <f t="shared" si="8"/>
        <v>0.05</v>
      </c>
      <c r="D74" s="7">
        <f t="shared" si="10"/>
        <v>197358.65111266039</v>
      </c>
      <c r="E74" s="7">
        <f t="shared" si="9"/>
        <v>0</v>
      </c>
      <c r="F74" s="7" t="str">
        <f t="shared" si="0"/>
        <v/>
      </c>
      <c r="G74" s="7">
        <f t="shared" si="1"/>
        <v>0</v>
      </c>
      <c r="H74" s="7">
        <f t="shared" si="2"/>
        <v>4207.6551921000009</v>
      </c>
      <c r="I74" s="7">
        <f t="shared" si="3"/>
        <v>205170.13777332139</v>
      </c>
      <c r="J74" s="8">
        <f t="shared" si="4"/>
        <v>318404.6828760216</v>
      </c>
      <c r="K74" s="8">
        <f t="shared" si="5"/>
        <v>6686498.3403964564</v>
      </c>
      <c r="M74" s="44"/>
    </row>
    <row r="75" spans="1:13" x14ac:dyDescent="0.25">
      <c r="A75" s="4">
        <f t="shared" si="6"/>
        <v>25</v>
      </c>
      <c r="B75" s="4">
        <f t="shared" si="7"/>
        <v>69</v>
      </c>
      <c r="C75" s="5">
        <f t="shared" si="8"/>
        <v>0.05</v>
      </c>
      <c r="D75" s="7">
        <f t="shared" si="10"/>
        <v>203279.4106460402</v>
      </c>
      <c r="E75" s="7">
        <f t="shared" si="9"/>
        <v>0</v>
      </c>
      <c r="F75" s="7" t="str">
        <f t="shared" si="0"/>
        <v/>
      </c>
      <c r="G75" s="7">
        <f t="shared" si="1"/>
        <v>0</v>
      </c>
      <c r="H75" s="7">
        <f t="shared" si="2"/>
        <v>4502.1910555470004</v>
      </c>
      <c r="I75" s="7">
        <f t="shared" si="3"/>
        <v>211156.93569883704</v>
      </c>
      <c r="J75" s="8">
        <f t="shared" si="4"/>
        <v>323767.07023488171</v>
      </c>
      <c r="K75" s="8">
        <f t="shared" si="5"/>
        <v>6799108.4749325011</v>
      </c>
      <c r="M75" s="44"/>
    </row>
    <row r="76" spans="1:13" x14ac:dyDescent="0.25">
      <c r="A76" s="4">
        <f t="shared" si="6"/>
        <v>26</v>
      </c>
      <c r="B76" s="4">
        <f t="shared" si="7"/>
        <v>70</v>
      </c>
      <c r="C76" s="5">
        <f t="shared" si="8"/>
        <v>0.05</v>
      </c>
      <c r="D76" s="7">
        <f t="shared" si="10"/>
        <v>209377.79296542139</v>
      </c>
      <c r="E76" s="7">
        <f t="shared" si="9"/>
        <v>0</v>
      </c>
      <c r="F76" s="7" t="str">
        <f t="shared" si="0"/>
        <v/>
      </c>
      <c r="G76" s="7">
        <f t="shared" si="1"/>
        <v>0</v>
      </c>
      <c r="H76" s="7">
        <f t="shared" si="2"/>
        <v>4817.3444294352903</v>
      </c>
      <c r="I76" s="7">
        <f t="shared" si="3"/>
        <v>217311.55612758026</v>
      </c>
      <c r="J76" s="8">
        <f t="shared" si="4"/>
        <v>329089.84594024625</v>
      </c>
      <c r="K76" s="8">
        <f t="shared" si="5"/>
        <v>6910886.7647451675</v>
      </c>
      <c r="M76" s="44"/>
    </row>
    <row r="77" spans="1:13" x14ac:dyDescent="0.25">
      <c r="A77" s="4">
        <f t="shared" si="6"/>
        <v>27</v>
      </c>
      <c r="B77" s="4">
        <f t="shared" si="7"/>
        <v>71</v>
      </c>
      <c r="C77" s="5">
        <f t="shared" si="8"/>
        <v>0.05</v>
      </c>
      <c r="D77" s="7">
        <f t="shared" si="10"/>
        <v>215659.12675438405</v>
      </c>
      <c r="E77" s="7">
        <f t="shared" si="9"/>
        <v>0</v>
      </c>
      <c r="F77" s="7" t="str">
        <f t="shared" si="0"/>
        <v/>
      </c>
      <c r="G77" s="7">
        <f t="shared" si="1"/>
        <v>0</v>
      </c>
      <c r="H77" s="7">
        <f t="shared" si="2"/>
        <v>5154.5585394957607</v>
      </c>
      <c r="I77" s="7">
        <f t="shared" si="3"/>
        <v>223638.20903423024</v>
      </c>
      <c r="J77" s="8">
        <f t="shared" si="4"/>
        <v>334362.42778554745</v>
      </c>
      <c r="K77" s="8">
        <f t="shared" si="5"/>
        <v>7021610.9834964843</v>
      </c>
      <c r="M77" s="44"/>
    </row>
    <row r="78" spans="1:13" x14ac:dyDescent="0.25">
      <c r="A78" s="4">
        <f t="shared" si="6"/>
        <v>28</v>
      </c>
      <c r="B78" s="4">
        <f t="shared" si="7"/>
        <v>72</v>
      </c>
      <c r="C78" s="5">
        <f t="shared" si="8"/>
        <v>0.05</v>
      </c>
      <c r="D78" s="7">
        <f t="shared" si="10"/>
        <v>222128.90055701556</v>
      </c>
      <c r="E78" s="7">
        <f t="shared" si="9"/>
        <v>0</v>
      </c>
      <c r="F78" s="7" t="str">
        <f t="shared" si="0"/>
        <v/>
      </c>
      <c r="G78" s="7">
        <f t="shared" si="1"/>
        <v>0</v>
      </c>
      <c r="H78" s="7">
        <f t="shared" si="2"/>
        <v>5515.3776372604643</v>
      </c>
      <c r="I78" s="7">
        <f t="shared" si="3"/>
        <v>230141.17296367732</v>
      </c>
      <c r="J78" s="8">
        <f t="shared" si="4"/>
        <v>339573.49052664079</v>
      </c>
      <c r="K78" s="8">
        <f t="shared" si="5"/>
        <v>7131043.3010594482</v>
      </c>
      <c r="M78" s="44"/>
    </row>
    <row r="79" spans="1:13" x14ac:dyDescent="0.25">
      <c r="A79" s="4">
        <f t="shared" si="6"/>
        <v>29</v>
      </c>
      <c r="B79" s="4">
        <f t="shared" si="7"/>
        <v>73</v>
      </c>
      <c r="C79" s="5">
        <f t="shared" si="8"/>
        <v>0.05</v>
      </c>
      <c r="D79" s="7">
        <f t="shared" si="10"/>
        <v>228792.76757372601</v>
      </c>
      <c r="E79" s="7">
        <f t="shared" si="9"/>
        <v>0</v>
      </c>
      <c r="F79" s="7" t="str">
        <f t="shared" si="0"/>
        <v/>
      </c>
      <c r="G79" s="7">
        <f t="shared" si="1"/>
        <v>0</v>
      </c>
      <c r="H79" s="7">
        <f t="shared" si="2"/>
        <v>5901.4540718686967</v>
      </c>
      <c r="I79" s="7">
        <f t="shared" si="3"/>
        <v>236824.79304709722</v>
      </c>
      <c r="J79" s="8">
        <f t="shared" si="4"/>
        <v>344710.92540061753</v>
      </c>
      <c r="K79" s="8">
        <f t="shared" si="5"/>
        <v>7238929.4334129682</v>
      </c>
      <c r="M79" s="44"/>
    </row>
    <row r="80" spans="1:13" x14ac:dyDescent="0.25">
      <c r="A80" s="4">
        <f t="shared" si="6"/>
        <v>30</v>
      </c>
      <c r="B80" s="4">
        <f t="shared" si="7"/>
        <v>74</v>
      </c>
      <c r="C80" s="5">
        <f t="shared" si="8"/>
        <v>0.05</v>
      </c>
      <c r="D80" s="7">
        <f t="shared" si="10"/>
        <v>235656.5506009378</v>
      </c>
      <c r="E80" s="7">
        <f t="shared" si="9"/>
        <v>0</v>
      </c>
      <c r="F80" s="7" t="str">
        <f t="shared" si="0"/>
        <v/>
      </c>
      <c r="G80" s="7">
        <f t="shared" si="1"/>
        <v>0</v>
      </c>
      <c r="H80" s="7">
        <f t="shared" si="2"/>
        <v>6314.5558568995066</v>
      </c>
      <c r="I80" s="7">
        <f t="shared" si="3"/>
        <v>243693.47867563542</v>
      </c>
      <c r="J80" s="8">
        <f t="shared" si="4"/>
        <v>349761.79773686733</v>
      </c>
      <c r="K80" s="8">
        <f t="shared" si="5"/>
        <v>7344997.7524742</v>
      </c>
      <c r="M80" s="44"/>
    </row>
    <row r="81" spans="1:13" x14ac:dyDescent="0.25">
      <c r="A81" s="4">
        <f t="shared" si="6"/>
        <v>31</v>
      </c>
      <c r="B81" s="4">
        <f t="shared" si="7"/>
        <v>75</v>
      </c>
      <c r="C81" s="5">
        <f t="shared" si="8"/>
        <v>0.05</v>
      </c>
      <c r="D81" s="7">
        <f t="shared" si="10"/>
        <v>242726.24711896593</v>
      </c>
      <c r="E81" s="7">
        <f t="shared" si="9"/>
        <v>0</v>
      </c>
      <c r="F81" s="7" t="str">
        <f t="shared" ref="F81:F112" si="11">IF(ISERROR(A83),NA(),"")</f>
        <v/>
      </c>
      <c r="G81" s="7">
        <f t="shared" ref="G81:G112" si="12">IF(ISERROR(A83),NA(),IF(A83&lt;=$E$12,MIN($E$26*E83,$E$27*$E$26*D83),0))</f>
        <v>0</v>
      </c>
      <c r="H81" s="7">
        <f t="shared" ref="H81:H112" si="13">IF(ISERROR(A83),NA(),IF(ISERROR(B83),0,IF(AND(B83&gt;=$K$18,B83&lt;($K$18+$K$21)),$K$19*(1+$K$20)^(B83-$K$18),0)))</f>
        <v>6756.5747668824706</v>
      </c>
      <c r="I81" s="7">
        <f t="shared" ref="I81:I112" si="14">IF(ISERROR(A83),NA(),IF(B83&gt;=$E$9,D83-H81,0))</f>
        <v>250751.70080162847</v>
      </c>
      <c r="J81" s="8">
        <f t="shared" ref="J81:J112" si="15">IF(ISERROR(A83),NA(),FV(C83/$E$44,$E$44,-(E83+G81)/$E$44,-(K80-I81*$E$45),0)-(K80+E83+G81-I81*$E$45))</f>
        <v>354712.30258362927</v>
      </c>
      <c r="K81" s="8">
        <f t="shared" ref="K81:K112" si="16">IF(ISERROR(A83),NA(),K80+E83+G81+J81-I81)</f>
        <v>7448958.3542562006</v>
      </c>
      <c r="M81" s="44"/>
    </row>
    <row r="82" spans="1:13" x14ac:dyDescent="0.25">
      <c r="A82" s="4">
        <f t="shared" si="6"/>
        <v>32</v>
      </c>
      <c r="B82" s="4">
        <f t="shared" si="7"/>
        <v>76</v>
      </c>
      <c r="C82" s="5">
        <f t="shared" si="8"/>
        <v>0.05</v>
      </c>
      <c r="D82" s="7">
        <f t="shared" si="10"/>
        <v>250008.03453253492</v>
      </c>
      <c r="E82" s="7">
        <f t="shared" si="9"/>
        <v>0</v>
      </c>
      <c r="F82" s="7" t="str">
        <f t="shared" si="11"/>
        <v/>
      </c>
      <c r="G82" s="7">
        <f t="shared" si="12"/>
        <v>0</v>
      </c>
      <c r="H82" s="7">
        <f t="shared" si="13"/>
        <v>7229.535000564244</v>
      </c>
      <c r="I82" s="7">
        <f t="shared" si="14"/>
        <v>258003.988835002</v>
      </c>
      <c r="J82" s="8">
        <f t="shared" si="15"/>
        <v>359547.71827105992</v>
      </c>
      <c r="K82" s="8">
        <f t="shared" si="16"/>
        <v>7550502.0836922582</v>
      </c>
      <c r="M82" s="44"/>
    </row>
    <row r="83" spans="1:13" x14ac:dyDescent="0.25">
      <c r="A83" s="4">
        <f t="shared" ref="A83:A114" si="17">IF($E$8&gt;=$E$9,NA(),IF(A82&lt;($E$9-$E$8)+$E$11,A82+1,NA()))</f>
        <v>33</v>
      </c>
      <c r="B83" s="4">
        <f t="shared" si="7"/>
        <v>77</v>
      </c>
      <c r="C83" s="5">
        <f t="shared" ref="C83:C114" si="18">IF(ISERROR(A83),NA(),IF(B83&lt;$E$9,$E$15,$E$16))</f>
        <v>0.05</v>
      </c>
      <c r="D83" s="7">
        <f t="shared" si="10"/>
        <v>257508.27556851093</v>
      </c>
      <c r="E83" s="7">
        <f t="shared" ref="E83:E114" si="19">IF(ISERROR(A83),NA(),IF(B83=$E$9-1,$K$25,0)+IF(A83&lt;=$E$12,$K$30*D83,0))</f>
        <v>0</v>
      </c>
      <c r="F83" s="7" t="str">
        <f t="shared" si="11"/>
        <v/>
      </c>
      <c r="G83" s="7">
        <f t="shared" si="12"/>
        <v>0</v>
      </c>
      <c r="H83" s="7">
        <f t="shared" si="13"/>
        <v>7735.6024506037402</v>
      </c>
      <c r="I83" s="7">
        <f t="shared" si="14"/>
        <v>265454.92710002954</v>
      </c>
      <c r="J83" s="8">
        <f t="shared" si="15"/>
        <v>364252.35782961175</v>
      </c>
      <c r="K83" s="8">
        <f t="shared" si="16"/>
        <v>7649299.5144218402</v>
      </c>
      <c r="M83" s="44"/>
    </row>
    <row r="84" spans="1:13" x14ac:dyDescent="0.25">
      <c r="A84" s="4">
        <f t="shared" si="17"/>
        <v>34</v>
      </c>
      <c r="B84" s="4">
        <f t="shared" si="7"/>
        <v>78</v>
      </c>
      <c r="C84" s="5">
        <f t="shared" si="18"/>
        <v>0.05</v>
      </c>
      <c r="D84" s="7">
        <f t="shared" ref="D84:D115" si="20">IF(ISERROR(A84),NA(),IF(B84&gt;=$E$9,$K$9*(1+$E$17)^(B84-$E$9),(1+$E$22)*D83))</f>
        <v>265233.52383556624</v>
      </c>
      <c r="E84" s="7">
        <f t="shared" si="19"/>
        <v>0</v>
      </c>
      <c r="F84" s="7" t="str">
        <f t="shared" si="11"/>
        <v/>
      </c>
      <c r="G84" s="7">
        <f t="shared" si="12"/>
        <v>0</v>
      </c>
      <c r="H84" s="7">
        <f t="shared" si="13"/>
        <v>8277.0946221460035</v>
      </c>
      <c r="I84" s="7">
        <f t="shared" si="14"/>
        <v>273109.15081500629</v>
      </c>
      <c r="J84" s="8">
        <f t="shared" si="15"/>
        <v>368809.51818034239</v>
      </c>
      <c r="K84" s="8">
        <f t="shared" si="16"/>
        <v>7744999.8817871762</v>
      </c>
      <c r="M84" s="44"/>
    </row>
    <row r="85" spans="1:13" x14ac:dyDescent="0.25">
      <c r="A85" s="4">
        <f t="shared" si="17"/>
        <v>35</v>
      </c>
      <c r="B85" s="4">
        <f t="shared" si="7"/>
        <v>79</v>
      </c>
      <c r="C85" s="5">
        <f t="shared" si="18"/>
        <v>0.05</v>
      </c>
      <c r="D85" s="7">
        <f t="shared" si="20"/>
        <v>273190.52955063328</v>
      </c>
      <c r="E85" s="7">
        <f t="shared" si="19"/>
        <v>0</v>
      </c>
      <c r="F85" s="7" t="str">
        <f t="shared" si="11"/>
        <v/>
      </c>
      <c r="G85" s="7">
        <f t="shared" si="12"/>
        <v>0</v>
      </c>
      <c r="H85" s="7">
        <f t="shared" si="13"/>
        <v>8856.4912456962229</v>
      </c>
      <c r="I85" s="7">
        <f t="shared" si="14"/>
        <v>280971.34155457059</v>
      </c>
      <c r="J85" s="8">
        <f t="shared" si="15"/>
        <v>373201.4270116305</v>
      </c>
      <c r="K85" s="8">
        <f t="shared" si="16"/>
        <v>7837229.9672442358</v>
      </c>
      <c r="M85" s="44"/>
    </row>
    <row r="86" spans="1:13" x14ac:dyDescent="0.25">
      <c r="A86" s="4">
        <f t="shared" si="17"/>
        <v>36</v>
      </c>
      <c r="B86" s="4">
        <f t="shared" si="7"/>
        <v>80</v>
      </c>
      <c r="C86" s="5">
        <f t="shared" si="18"/>
        <v>0.05</v>
      </c>
      <c r="D86" s="7">
        <f t="shared" si="20"/>
        <v>281386.24543715228</v>
      </c>
      <c r="E86" s="7">
        <f t="shared" si="19"/>
        <v>0</v>
      </c>
      <c r="F86" s="7" t="str">
        <f t="shared" si="11"/>
        <v/>
      </c>
      <c r="G86" s="7">
        <f t="shared" si="12"/>
        <v>0</v>
      </c>
      <c r="H86" s="7">
        <f t="shared" si="13"/>
        <v>9476.4456328949582</v>
      </c>
      <c r="I86" s="7">
        <f t="shared" si="14"/>
        <v>289046.22215137986</v>
      </c>
      <c r="J86" s="8">
        <f t="shared" si="15"/>
        <v>377409.18725464307</v>
      </c>
      <c r="K86" s="8">
        <f t="shared" si="16"/>
        <v>7925592.9323474988</v>
      </c>
      <c r="M86" s="44"/>
    </row>
    <row r="87" spans="1:13" x14ac:dyDescent="0.25">
      <c r="A87" s="4">
        <f t="shared" si="17"/>
        <v>37</v>
      </c>
      <c r="B87" s="4">
        <f t="shared" si="7"/>
        <v>81</v>
      </c>
      <c r="C87" s="5">
        <f t="shared" si="18"/>
        <v>0.05</v>
      </c>
      <c r="D87" s="7">
        <f t="shared" si="20"/>
        <v>289827.8328002668</v>
      </c>
      <c r="E87" s="7">
        <f t="shared" si="19"/>
        <v>0</v>
      </c>
      <c r="F87" s="7" t="str">
        <f t="shared" si="11"/>
        <v/>
      </c>
      <c r="G87" s="7">
        <f t="shared" si="12"/>
        <v>0</v>
      </c>
      <c r="H87" s="7">
        <f t="shared" si="13"/>
        <v>10139.796827197606</v>
      </c>
      <c r="I87" s="7">
        <f t="shared" si="14"/>
        <v>297338.55099060544</v>
      </c>
      <c r="J87" s="8">
        <f t="shared" si="15"/>
        <v>381412.71906784456</v>
      </c>
      <c r="K87" s="8">
        <f t="shared" si="16"/>
        <v>8009667.1004247377</v>
      </c>
      <c r="M87" s="44"/>
    </row>
    <row r="88" spans="1:13" x14ac:dyDescent="0.25">
      <c r="A88" s="4">
        <f t="shared" si="17"/>
        <v>38</v>
      </c>
      <c r="B88" s="4">
        <f t="shared" si="7"/>
        <v>82</v>
      </c>
      <c r="C88" s="5">
        <f t="shared" si="18"/>
        <v>0.05</v>
      </c>
      <c r="D88" s="7">
        <f t="shared" si="20"/>
        <v>298522.66778427479</v>
      </c>
      <c r="E88" s="7">
        <f t="shared" si="19"/>
        <v>0</v>
      </c>
      <c r="F88" s="7" t="str">
        <f t="shared" si="11"/>
        <v/>
      </c>
      <c r="G88" s="7">
        <f t="shared" si="12"/>
        <v>0</v>
      </c>
      <c r="H88" s="7">
        <f t="shared" si="13"/>
        <v>10849.582605101439</v>
      </c>
      <c r="I88" s="7">
        <f t="shared" si="14"/>
        <v>305853.11564723565</v>
      </c>
      <c r="J88" s="8">
        <f t="shared" si="15"/>
        <v>385190.69923887588</v>
      </c>
      <c r="K88" s="8">
        <f t="shared" si="16"/>
        <v>8089004.6840163786</v>
      </c>
      <c r="M88" s="44"/>
    </row>
    <row r="89" spans="1:13" x14ac:dyDescent="0.25">
      <c r="A89" s="4">
        <f t="shared" si="17"/>
        <v>39</v>
      </c>
      <c r="B89" s="4">
        <f t="shared" si="7"/>
        <v>83</v>
      </c>
      <c r="C89" s="5">
        <f t="shared" si="18"/>
        <v>0.05</v>
      </c>
      <c r="D89" s="7">
        <f t="shared" si="20"/>
        <v>307478.34781780303</v>
      </c>
      <c r="E89" s="7">
        <f t="shared" si="19"/>
        <v>0</v>
      </c>
      <c r="F89" s="7" t="str">
        <f t="shared" si="11"/>
        <v/>
      </c>
      <c r="G89" s="7">
        <f t="shared" si="12"/>
        <v>0</v>
      </c>
      <c r="H89" s="7">
        <f t="shared" si="13"/>
        <v>11609.053387458538</v>
      </c>
      <c r="I89" s="7">
        <f t="shared" si="14"/>
        <v>314594.72581244865</v>
      </c>
      <c r="J89" s="8">
        <f t="shared" si="15"/>
        <v>388720.49791019689</v>
      </c>
      <c r="K89" s="8">
        <f t="shared" si="16"/>
        <v>8163130.4561141264</v>
      </c>
      <c r="M89" s="44"/>
    </row>
    <row r="90" spans="1:13" x14ac:dyDescent="0.25">
      <c r="A90" s="4">
        <f t="shared" si="17"/>
        <v>40</v>
      </c>
      <c r="B90" s="4">
        <f t="shared" si="7"/>
        <v>84</v>
      </c>
      <c r="C90" s="5">
        <f t="shared" si="18"/>
        <v>0.05</v>
      </c>
      <c r="D90" s="7">
        <f t="shared" si="20"/>
        <v>316702.69825233711</v>
      </c>
      <c r="E90" s="7">
        <f t="shared" si="19"/>
        <v>0</v>
      </c>
      <c r="F90" s="7" t="str">
        <f t="shared" si="11"/>
        <v/>
      </c>
      <c r="G90" s="7">
        <f t="shared" si="12"/>
        <v>0</v>
      </c>
      <c r="H90" s="7">
        <f t="shared" si="13"/>
        <v>12421.687124580636</v>
      </c>
      <c r="I90" s="7">
        <f t="shared" si="14"/>
        <v>323568.20545132383</v>
      </c>
      <c r="J90" s="8">
        <f t="shared" si="15"/>
        <v>391978.11253314093</v>
      </c>
      <c r="K90" s="8">
        <f t="shared" si="16"/>
        <v>8231540.3631959436</v>
      </c>
      <c r="M90" s="44"/>
    </row>
    <row r="91" spans="1:13" x14ac:dyDescent="0.25">
      <c r="A91" s="4">
        <f t="shared" si="17"/>
        <v>41</v>
      </c>
      <c r="B91" s="4">
        <f t="shared" si="7"/>
        <v>85</v>
      </c>
      <c r="C91" s="5">
        <f t="shared" si="18"/>
        <v>0.05</v>
      </c>
      <c r="D91" s="7">
        <f t="shared" si="20"/>
        <v>326203.77919990721</v>
      </c>
      <c r="E91" s="7">
        <f t="shared" si="19"/>
        <v>0</v>
      </c>
      <c r="F91" s="7" t="str">
        <f t="shared" si="11"/>
        <v/>
      </c>
      <c r="G91" s="7">
        <f t="shared" si="12"/>
        <v>0</v>
      </c>
      <c r="H91" s="7">
        <f t="shared" si="13"/>
        <v>13291.205223301282</v>
      </c>
      <c r="I91" s="7">
        <f t="shared" si="14"/>
        <v>332778.38412988029</v>
      </c>
      <c r="J91" s="8">
        <f t="shared" si="15"/>
        <v>394938.09895330388</v>
      </c>
      <c r="K91" s="8">
        <f t="shared" si="16"/>
        <v>8293700.0780193675</v>
      </c>
      <c r="M91" s="44"/>
    </row>
    <row r="92" spans="1:13" x14ac:dyDescent="0.25">
      <c r="A92" s="4">
        <f t="shared" si="17"/>
        <v>42</v>
      </c>
      <c r="B92" s="4">
        <f t="shared" si="7"/>
        <v>86</v>
      </c>
      <c r="C92" s="5">
        <f t="shared" si="18"/>
        <v>0.05</v>
      </c>
      <c r="D92" s="7">
        <f t="shared" si="20"/>
        <v>335989.89257590444</v>
      </c>
      <c r="E92" s="7">
        <f t="shared" si="19"/>
        <v>0</v>
      </c>
      <c r="F92" s="7" t="str">
        <f t="shared" si="11"/>
        <v/>
      </c>
      <c r="G92" s="7">
        <f t="shared" si="12"/>
        <v>0</v>
      </c>
      <c r="H92" s="7">
        <f t="shared" si="13"/>
        <v>14221.589588932371</v>
      </c>
      <c r="I92" s="7">
        <f t="shared" si="14"/>
        <v>342230.08744484471</v>
      </c>
      <c r="J92" s="8">
        <f t="shared" si="15"/>
        <v>397573.49952872656</v>
      </c>
      <c r="K92" s="8">
        <f t="shared" si="16"/>
        <v>8349043.4901032494</v>
      </c>
      <c r="M92" s="44"/>
    </row>
    <row r="93" spans="1:13" x14ac:dyDescent="0.25">
      <c r="A93" s="4">
        <f t="shared" si="17"/>
        <v>43</v>
      </c>
      <c r="B93" s="4">
        <f t="shared" si="7"/>
        <v>87</v>
      </c>
      <c r="C93" s="5">
        <f t="shared" si="18"/>
        <v>0.05</v>
      </c>
      <c r="D93" s="7">
        <f t="shared" si="20"/>
        <v>346069.5893531816</v>
      </c>
      <c r="E93" s="7">
        <f t="shared" si="19"/>
        <v>0</v>
      </c>
      <c r="F93" s="7" t="str">
        <f t="shared" si="11"/>
        <v/>
      </c>
      <c r="G93" s="7">
        <f t="shared" si="12"/>
        <v>0</v>
      </c>
      <c r="H93" s="7">
        <f t="shared" si="13"/>
        <v>15217.100860157638</v>
      </c>
      <c r="I93" s="7">
        <f t="shared" si="14"/>
        <v>351928.12648463267</v>
      </c>
      <c r="J93" s="8">
        <f t="shared" si="15"/>
        <v>399855.76818093192</v>
      </c>
      <c r="K93" s="8">
        <f t="shared" si="16"/>
        <v>8396971.1317995489</v>
      </c>
      <c r="M93" s="44"/>
    </row>
    <row r="94" spans="1:13" x14ac:dyDescent="0.25">
      <c r="A94" s="4">
        <f t="shared" si="17"/>
        <v>44</v>
      </c>
      <c r="B94" s="4">
        <f t="shared" si="7"/>
        <v>88</v>
      </c>
      <c r="C94" s="5">
        <f t="shared" si="18"/>
        <v>0.05</v>
      </c>
      <c r="D94" s="7">
        <f t="shared" si="20"/>
        <v>356451.67703377706</v>
      </c>
      <c r="E94" s="7">
        <f t="shared" si="19"/>
        <v>0</v>
      </c>
      <c r="F94" s="7" t="e">
        <f t="shared" si="11"/>
        <v>#N/A</v>
      </c>
      <c r="G94" s="7" t="e">
        <f t="shared" si="12"/>
        <v>#N/A</v>
      </c>
      <c r="H94" s="7" t="e">
        <f t="shared" si="13"/>
        <v>#N/A</v>
      </c>
      <c r="I94" s="7" t="e">
        <f t="shared" si="14"/>
        <v>#N/A</v>
      </c>
      <c r="J94" s="8" t="e">
        <f t="shared" si="15"/>
        <v>#N/A</v>
      </c>
      <c r="K94" s="8" t="e">
        <f t="shared" si="16"/>
        <v>#N/A</v>
      </c>
      <c r="M94" s="44"/>
    </row>
    <row r="95" spans="1:13" x14ac:dyDescent="0.25">
      <c r="A95" s="4">
        <f t="shared" si="17"/>
        <v>45</v>
      </c>
      <c r="B95" s="4">
        <f t="shared" si="7"/>
        <v>89</v>
      </c>
      <c r="C95" s="5">
        <f t="shared" si="18"/>
        <v>0.05</v>
      </c>
      <c r="D95" s="7">
        <f t="shared" si="20"/>
        <v>367145.2273447903</v>
      </c>
      <c r="E95" s="7">
        <f t="shared" si="19"/>
        <v>0</v>
      </c>
      <c r="F95" s="7" t="e">
        <f t="shared" si="11"/>
        <v>#N/A</v>
      </c>
      <c r="G95" s="7" t="e">
        <f t="shared" si="12"/>
        <v>#N/A</v>
      </c>
      <c r="H95" s="7" t="e">
        <f t="shared" si="13"/>
        <v>#N/A</v>
      </c>
      <c r="I95" s="7" t="e">
        <f t="shared" si="14"/>
        <v>#N/A</v>
      </c>
      <c r="J95" s="8" t="e">
        <f t="shared" si="15"/>
        <v>#N/A</v>
      </c>
      <c r="K95" s="8" t="e">
        <f t="shared" si="16"/>
        <v>#N/A</v>
      </c>
      <c r="M95" s="44"/>
    </row>
    <row r="96" spans="1:13" x14ac:dyDescent="0.25">
      <c r="A96" s="4" t="e">
        <f t="shared" si="17"/>
        <v>#N/A</v>
      </c>
      <c r="B96" s="4" t="e">
        <f t="shared" si="7"/>
        <v>#N/A</v>
      </c>
      <c r="C96" s="5" t="e">
        <f t="shared" si="18"/>
        <v>#N/A</v>
      </c>
      <c r="D96" s="7" t="e">
        <f t="shared" si="20"/>
        <v>#N/A</v>
      </c>
      <c r="E96" s="7" t="e">
        <f t="shared" si="19"/>
        <v>#N/A</v>
      </c>
      <c r="F96" s="7" t="e">
        <f t="shared" si="11"/>
        <v>#N/A</v>
      </c>
      <c r="G96" s="7" t="e">
        <f t="shared" si="12"/>
        <v>#N/A</v>
      </c>
      <c r="H96" s="7" t="e">
        <f t="shared" si="13"/>
        <v>#N/A</v>
      </c>
      <c r="I96" s="7" t="e">
        <f t="shared" si="14"/>
        <v>#N/A</v>
      </c>
      <c r="J96" s="8" t="e">
        <f t="shared" si="15"/>
        <v>#N/A</v>
      </c>
      <c r="K96" s="8" t="e">
        <f t="shared" si="16"/>
        <v>#N/A</v>
      </c>
      <c r="M96" s="44"/>
    </row>
    <row r="97" spans="1:13" x14ac:dyDescent="0.25">
      <c r="A97" s="4" t="e">
        <f t="shared" si="17"/>
        <v>#N/A</v>
      </c>
      <c r="B97" s="4" t="e">
        <f t="shared" si="7"/>
        <v>#N/A</v>
      </c>
      <c r="C97" s="5" t="e">
        <f t="shared" si="18"/>
        <v>#N/A</v>
      </c>
      <c r="D97" s="7" t="e">
        <f t="shared" si="20"/>
        <v>#N/A</v>
      </c>
      <c r="E97" s="7" t="e">
        <f t="shared" si="19"/>
        <v>#N/A</v>
      </c>
      <c r="F97" s="7" t="e">
        <f t="shared" si="11"/>
        <v>#N/A</v>
      </c>
      <c r="G97" s="7" t="e">
        <f t="shared" si="12"/>
        <v>#N/A</v>
      </c>
      <c r="H97" s="7" t="e">
        <f t="shared" si="13"/>
        <v>#N/A</v>
      </c>
      <c r="I97" s="7" t="e">
        <f t="shared" si="14"/>
        <v>#N/A</v>
      </c>
      <c r="J97" s="8" t="e">
        <f t="shared" si="15"/>
        <v>#N/A</v>
      </c>
      <c r="K97" s="8" t="e">
        <f t="shared" si="16"/>
        <v>#N/A</v>
      </c>
      <c r="M97" s="44"/>
    </row>
    <row r="98" spans="1:13" x14ac:dyDescent="0.25">
      <c r="A98" s="4" t="e">
        <f t="shared" si="17"/>
        <v>#N/A</v>
      </c>
      <c r="B98" s="4" t="e">
        <f t="shared" si="7"/>
        <v>#N/A</v>
      </c>
      <c r="C98" s="5" t="e">
        <f t="shared" si="18"/>
        <v>#N/A</v>
      </c>
      <c r="D98" s="7" t="e">
        <f t="shared" si="20"/>
        <v>#N/A</v>
      </c>
      <c r="E98" s="7" t="e">
        <f t="shared" si="19"/>
        <v>#N/A</v>
      </c>
      <c r="F98" s="7" t="e">
        <f t="shared" si="11"/>
        <v>#N/A</v>
      </c>
      <c r="G98" s="7" t="e">
        <f t="shared" si="12"/>
        <v>#N/A</v>
      </c>
      <c r="H98" s="7" t="e">
        <f t="shared" si="13"/>
        <v>#N/A</v>
      </c>
      <c r="I98" s="7" t="e">
        <f t="shared" si="14"/>
        <v>#N/A</v>
      </c>
      <c r="J98" s="8" t="e">
        <f t="shared" si="15"/>
        <v>#N/A</v>
      </c>
      <c r="K98" s="8" t="e">
        <f t="shared" si="16"/>
        <v>#N/A</v>
      </c>
      <c r="M98" s="44"/>
    </row>
    <row r="99" spans="1:13" x14ac:dyDescent="0.25">
      <c r="A99" s="4" t="e">
        <f t="shared" si="17"/>
        <v>#N/A</v>
      </c>
      <c r="B99" s="4" t="e">
        <f t="shared" si="7"/>
        <v>#N/A</v>
      </c>
      <c r="C99" s="5" t="e">
        <f t="shared" si="18"/>
        <v>#N/A</v>
      </c>
      <c r="D99" s="7" t="e">
        <f t="shared" si="20"/>
        <v>#N/A</v>
      </c>
      <c r="E99" s="7" t="e">
        <f t="shared" si="19"/>
        <v>#N/A</v>
      </c>
      <c r="F99" s="7" t="e">
        <f t="shared" si="11"/>
        <v>#N/A</v>
      </c>
      <c r="G99" s="7" t="e">
        <f t="shared" si="12"/>
        <v>#N/A</v>
      </c>
      <c r="H99" s="7" t="e">
        <f t="shared" si="13"/>
        <v>#N/A</v>
      </c>
      <c r="I99" s="7" t="e">
        <f t="shared" si="14"/>
        <v>#N/A</v>
      </c>
      <c r="J99" s="8" t="e">
        <f t="shared" si="15"/>
        <v>#N/A</v>
      </c>
      <c r="K99" s="8" t="e">
        <f t="shared" si="16"/>
        <v>#N/A</v>
      </c>
      <c r="M99" s="44"/>
    </row>
    <row r="100" spans="1:13" x14ac:dyDescent="0.25">
      <c r="A100" s="4" t="e">
        <f t="shared" si="17"/>
        <v>#N/A</v>
      </c>
      <c r="B100" s="4" t="e">
        <f t="shared" si="7"/>
        <v>#N/A</v>
      </c>
      <c r="C100" s="5" t="e">
        <f t="shared" si="18"/>
        <v>#N/A</v>
      </c>
      <c r="D100" s="7" t="e">
        <f t="shared" si="20"/>
        <v>#N/A</v>
      </c>
      <c r="E100" s="7" t="e">
        <f t="shared" si="19"/>
        <v>#N/A</v>
      </c>
      <c r="F100" s="7" t="e">
        <f t="shared" si="11"/>
        <v>#N/A</v>
      </c>
      <c r="G100" s="7" t="e">
        <f t="shared" si="12"/>
        <v>#N/A</v>
      </c>
      <c r="H100" s="7" t="e">
        <f t="shared" si="13"/>
        <v>#N/A</v>
      </c>
      <c r="I100" s="7" t="e">
        <f t="shared" si="14"/>
        <v>#N/A</v>
      </c>
      <c r="J100" s="8" t="e">
        <f t="shared" si="15"/>
        <v>#N/A</v>
      </c>
      <c r="K100" s="8" t="e">
        <f t="shared" si="16"/>
        <v>#N/A</v>
      </c>
      <c r="M100" s="44"/>
    </row>
    <row r="101" spans="1:13" x14ac:dyDescent="0.25">
      <c r="A101" s="4" t="e">
        <f t="shared" si="17"/>
        <v>#N/A</v>
      </c>
      <c r="B101" s="4" t="e">
        <f t="shared" si="7"/>
        <v>#N/A</v>
      </c>
      <c r="C101" s="5" t="e">
        <f t="shared" si="18"/>
        <v>#N/A</v>
      </c>
      <c r="D101" s="7" t="e">
        <f t="shared" si="20"/>
        <v>#N/A</v>
      </c>
      <c r="E101" s="7" t="e">
        <f t="shared" si="19"/>
        <v>#N/A</v>
      </c>
      <c r="F101" s="7" t="e">
        <f t="shared" si="11"/>
        <v>#N/A</v>
      </c>
      <c r="G101" s="7" t="e">
        <f t="shared" si="12"/>
        <v>#N/A</v>
      </c>
      <c r="H101" s="7" t="e">
        <f t="shared" si="13"/>
        <v>#N/A</v>
      </c>
      <c r="I101" s="7" t="e">
        <f t="shared" si="14"/>
        <v>#N/A</v>
      </c>
      <c r="J101" s="8" t="e">
        <f t="shared" si="15"/>
        <v>#N/A</v>
      </c>
      <c r="K101" s="8" t="e">
        <f t="shared" si="16"/>
        <v>#N/A</v>
      </c>
      <c r="M101" s="44"/>
    </row>
    <row r="102" spans="1:13" x14ac:dyDescent="0.25">
      <c r="A102" s="4" t="e">
        <f t="shared" si="17"/>
        <v>#N/A</v>
      </c>
      <c r="B102" s="4" t="e">
        <f t="shared" si="7"/>
        <v>#N/A</v>
      </c>
      <c r="C102" s="5" t="e">
        <f t="shared" si="18"/>
        <v>#N/A</v>
      </c>
      <c r="D102" s="7" t="e">
        <f t="shared" si="20"/>
        <v>#N/A</v>
      </c>
      <c r="E102" s="7" t="e">
        <f t="shared" si="19"/>
        <v>#N/A</v>
      </c>
      <c r="F102" s="7" t="e">
        <f t="shared" si="11"/>
        <v>#N/A</v>
      </c>
      <c r="G102" s="7" t="e">
        <f t="shared" si="12"/>
        <v>#N/A</v>
      </c>
      <c r="H102" s="7" t="e">
        <f t="shared" si="13"/>
        <v>#N/A</v>
      </c>
      <c r="I102" s="7" t="e">
        <f t="shared" si="14"/>
        <v>#N/A</v>
      </c>
      <c r="J102" s="8" t="e">
        <f t="shared" si="15"/>
        <v>#N/A</v>
      </c>
      <c r="K102" s="8" t="e">
        <f t="shared" si="16"/>
        <v>#N/A</v>
      </c>
      <c r="M102" s="44"/>
    </row>
    <row r="103" spans="1:13" x14ac:dyDescent="0.25">
      <c r="A103" s="4" t="e">
        <f t="shared" si="17"/>
        <v>#N/A</v>
      </c>
      <c r="B103" s="4" t="e">
        <f t="shared" si="7"/>
        <v>#N/A</v>
      </c>
      <c r="C103" s="5" t="e">
        <f t="shared" si="18"/>
        <v>#N/A</v>
      </c>
      <c r="D103" s="7" t="e">
        <f t="shared" si="20"/>
        <v>#N/A</v>
      </c>
      <c r="E103" s="7" t="e">
        <f t="shared" si="19"/>
        <v>#N/A</v>
      </c>
      <c r="F103" s="7" t="e">
        <f t="shared" si="11"/>
        <v>#N/A</v>
      </c>
      <c r="G103" s="7" t="e">
        <f t="shared" si="12"/>
        <v>#N/A</v>
      </c>
      <c r="H103" s="7" t="e">
        <f t="shared" si="13"/>
        <v>#N/A</v>
      </c>
      <c r="I103" s="7" t="e">
        <f t="shared" si="14"/>
        <v>#N/A</v>
      </c>
      <c r="J103" s="8" t="e">
        <f t="shared" si="15"/>
        <v>#N/A</v>
      </c>
      <c r="K103" s="8" t="e">
        <f t="shared" si="16"/>
        <v>#N/A</v>
      </c>
      <c r="M103" s="44"/>
    </row>
    <row r="104" spans="1:13" x14ac:dyDescent="0.25">
      <c r="A104" s="4" t="e">
        <f t="shared" si="17"/>
        <v>#N/A</v>
      </c>
      <c r="B104" s="4" t="e">
        <f t="shared" si="7"/>
        <v>#N/A</v>
      </c>
      <c r="C104" s="5" t="e">
        <f t="shared" si="18"/>
        <v>#N/A</v>
      </c>
      <c r="D104" s="7" t="e">
        <f t="shared" si="20"/>
        <v>#N/A</v>
      </c>
      <c r="E104" s="7" t="e">
        <f t="shared" si="19"/>
        <v>#N/A</v>
      </c>
      <c r="F104" s="7" t="e">
        <f t="shared" si="11"/>
        <v>#N/A</v>
      </c>
      <c r="G104" s="7" t="e">
        <f t="shared" si="12"/>
        <v>#N/A</v>
      </c>
      <c r="H104" s="7" t="e">
        <f t="shared" si="13"/>
        <v>#N/A</v>
      </c>
      <c r="I104" s="7" t="e">
        <f t="shared" si="14"/>
        <v>#N/A</v>
      </c>
      <c r="J104" s="8" t="e">
        <f t="shared" si="15"/>
        <v>#N/A</v>
      </c>
      <c r="K104" s="8" t="e">
        <f t="shared" si="16"/>
        <v>#N/A</v>
      </c>
      <c r="M104" s="44"/>
    </row>
    <row r="105" spans="1:13" x14ac:dyDescent="0.25">
      <c r="A105" s="4" t="e">
        <f t="shared" si="17"/>
        <v>#N/A</v>
      </c>
      <c r="B105" s="4" t="e">
        <f t="shared" ref="B105:B125" si="21">IF(ISERROR(A105),NA(),$E$8+A105-1)</f>
        <v>#N/A</v>
      </c>
      <c r="C105" s="5" t="e">
        <f t="shared" si="18"/>
        <v>#N/A</v>
      </c>
      <c r="D105" s="7" t="e">
        <f t="shared" si="20"/>
        <v>#N/A</v>
      </c>
      <c r="E105" s="7" t="e">
        <f t="shared" si="19"/>
        <v>#N/A</v>
      </c>
      <c r="F105" s="7" t="e">
        <f t="shared" si="11"/>
        <v>#N/A</v>
      </c>
      <c r="G105" s="7" t="e">
        <f t="shared" si="12"/>
        <v>#N/A</v>
      </c>
      <c r="H105" s="7" t="e">
        <f t="shared" si="13"/>
        <v>#N/A</v>
      </c>
      <c r="I105" s="7" t="e">
        <f t="shared" si="14"/>
        <v>#N/A</v>
      </c>
      <c r="J105" s="8" t="e">
        <f t="shared" si="15"/>
        <v>#N/A</v>
      </c>
      <c r="K105" s="8" t="e">
        <f t="shared" si="16"/>
        <v>#N/A</v>
      </c>
      <c r="M105" s="44"/>
    </row>
    <row r="106" spans="1:13" x14ac:dyDescent="0.25">
      <c r="A106" s="4" t="e">
        <f t="shared" si="17"/>
        <v>#N/A</v>
      </c>
      <c r="B106" s="4" t="e">
        <f t="shared" si="21"/>
        <v>#N/A</v>
      </c>
      <c r="C106" s="5" t="e">
        <f t="shared" si="18"/>
        <v>#N/A</v>
      </c>
      <c r="D106" s="7" t="e">
        <f t="shared" si="20"/>
        <v>#N/A</v>
      </c>
      <c r="E106" s="7" t="e">
        <f t="shared" si="19"/>
        <v>#N/A</v>
      </c>
      <c r="F106" s="7" t="e">
        <f t="shared" si="11"/>
        <v>#N/A</v>
      </c>
      <c r="G106" s="7" t="e">
        <f t="shared" si="12"/>
        <v>#N/A</v>
      </c>
      <c r="H106" s="7" t="e">
        <f t="shared" si="13"/>
        <v>#N/A</v>
      </c>
      <c r="I106" s="7" t="e">
        <f t="shared" si="14"/>
        <v>#N/A</v>
      </c>
      <c r="J106" s="8" t="e">
        <f t="shared" si="15"/>
        <v>#N/A</v>
      </c>
      <c r="K106" s="8" t="e">
        <f t="shared" si="16"/>
        <v>#N/A</v>
      </c>
      <c r="M106" s="44"/>
    </row>
    <row r="107" spans="1:13" x14ac:dyDescent="0.25">
      <c r="A107" s="4" t="e">
        <f t="shared" si="17"/>
        <v>#N/A</v>
      </c>
      <c r="B107" s="4" t="e">
        <f t="shared" si="21"/>
        <v>#N/A</v>
      </c>
      <c r="C107" s="5" t="e">
        <f t="shared" si="18"/>
        <v>#N/A</v>
      </c>
      <c r="D107" s="7" t="e">
        <f t="shared" si="20"/>
        <v>#N/A</v>
      </c>
      <c r="E107" s="7" t="e">
        <f t="shared" si="19"/>
        <v>#N/A</v>
      </c>
      <c r="F107" s="7" t="e">
        <f t="shared" si="11"/>
        <v>#N/A</v>
      </c>
      <c r="G107" s="7" t="e">
        <f t="shared" si="12"/>
        <v>#N/A</v>
      </c>
      <c r="H107" s="7" t="e">
        <f t="shared" si="13"/>
        <v>#N/A</v>
      </c>
      <c r="I107" s="7" t="e">
        <f t="shared" si="14"/>
        <v>#N/A</v>
      </c>
      <c r="J107" s="8" t="e">
        <f t="shared" si="15"/>
        <v>#N/A</v>
      </c>
      <c r="K107" s="8" t="e">
        <f t="shared" si="16"/>
        <v>#N/A</v>
      </c>
      <c r="M107" s="44"/>
    </row>
    <row r="108" spans="1:13" x14ac:dyDescent="0.25">
      <c r="A108" s="4" t="e">
        <f t="shared" si="17"/>
        <v>#N/A</v>
      </c>
      <c r="B108" s="4" t="e">
        <f t="shared" si="21"/>
        <v>#N/A</v>
      </c>
      <c r="C108" s="5" t="e">
        <f t="shared" si="18"/>
        <v>#N/A</v>
      </c>
      <c r="D108" s="7" t="e">
        <f t="shared" si="20"/>
        <v>#N/A</v>
      </c>
      <c r="E108" s="7" t="e">
        <f t="shared" si="19"/>
        <v>#N/A</v>
      </c>
      <c r="F108" s="7" t="e">
        <f t="shared" si="11"/>
        <v>#N/A</v>
      </c>
      <c r="G108" s="7" t="e">
        <f t="shared" si="12"/>
        <v>#N/A</v>
      </c>
      <c r="H108" s="7" t="e">
        <f t="shared" si="13"/>
        <v>#N/A</v>
      </c>
      <c r="I108" s="7" t="e">
        <f t="shared" si="14"/>
        <v>#N/A</v>
      </c>
      <c r="J108" s="8" t="e">
        <f t="shared" si="15"/>
        <v>#N/A</v>
      </c>
      <c r="K108" s="8" t="e">
        <f t="shared" si="16"/>
        <v>#N/A</v>
      </c>
      <c r="M108" s="44"/>
    </row>
    <row r="109" spans="1:13" x14ac:dyDescent="0.25">
      <c r="A109" s="4" t="e">
        <f t="shared" si="17"/>
        <v>#N/A</v>
      </c>
      <c r="B109" s="4" t="e">
        <f t="shared" si="21"/>
        <v>#N/A</v>
      </c>
      <c r="C109" s="5" t="e">
        <f t="shared" si="18"/>
        <v>#N/A</v>
      </c>
      <c r="D109" s="7" t="e">
        <f t="shared" si="20"/>
        <v>#N/A</v>
      </c>
      <c r="E109" s="7" t="e">
        <f t="shared" si="19"/>
        <v>#N/A</v>
      </c>
      <c r="F109" s="7" t="e">
        <f t="shared" si="11"/>
        <v>#N/A</v>
      </c>
      <c r="G109" s="7" t="e">
        <f t="shared" si="12"/>
        <v>#N/A</v>
      </c>
      <c r="H109" s="7" t="e">
        <f t="shared" si="13"/>
        <v>#N/A</v>
      </c>
      <c r="I109" s="7" t="e">
        <f t="shared" si="14"/>
        <v>#N/A</v>
      </c>
      <c r="J109" s="8" t="e">
        <f t="shared" si="15"/>
        <v>#N/A</v>
      </c>
      <c r="K109" s="8" t="e">
        <f t="shared" si="16"/>
        <v>#N/A</v>
      </c>
      <c r="M109" s="44"/>
    </row>
    <row r="110" spans="1:13" x14ac:dyDescent="0.25">
      <c r="A110" s="4" t="e">
        <f t="shared" si="17"/>
        <v>#N/A</v>
      </c>
      <c r="B110" s="4" t="e">
        <f t="shared" si="21"/>
        <v>#N/A</v>
      </c>
      <c r="C110" s="5" t="e">
        <f t="shared" si="18"/>
        <v>#N/A</v>
      </c>
      <c r="D110" s="7" t="e">
        <f t="shared" si="20"/>
        <v>#N/A</v>
      </c>
      <c r="E110" s="7" t="e">
        <f t="shared" si="19"/>
        <v>#N/A</v>
      </c>
      <c r="F110" s="7" t="e">
        <f t="shared" si="11"/>
        <v>#N/A</v>
      </c>
      <c r="G110" s="7" t="e">
        <f t="shared" si="12"/>
        <v>#N/A</v>
      </c>
      <c r="H110" s="7" t="e">
        <f t="shared" si="13"/>
        <v>#N/A</v>
      </c>
      <c r="I110" s="7" t="e">
        <f t="shared" si="14"/>
        <v>#N/A</v>
      </c>
      <c r="J110" s="8" t="e">
        <f t="shared" si="15"/>
        <v>#N/A</v>
      </c>
      <c r="K110" s="8" t="e">
        <f t="shared" si="16"/>
        <v>#N/A</v>
      </c>
      <c r="M110" s="44"/>
    </row>
    <row r="111" spans="1:13" x14ac:dyDescent="0.25">
      <c r="A111" s="4" t="e">
        <f t="shared" si="17"/>
        <v>#N/A</v>
      </c>
      <c r="B111" s="4" t="e">
        <f t="shared" si="21"/>
        <v>#N/A</v>
      </c>
      <c r="C111" s="5" t="e">
        <f t="shared" si="18"/>
        <v>#N/A</v>
      </c>
      <c r="D111" s="7" t="e">
        <f t="shared" si="20"/>
        <v>#N/A</v>
      </c>
      <c r="E111" s="7" t="e">
        <f t="shared" si="19"/>
        <v>#N/A</v>
      </c>
      <c r="F111" s="7" t="e">
        <f t="shared" si="11"/>
        <v>#N/A</v>
      </c>
      <c r="G111" s="7" t="e">
        <f t="shared" si="12"/>
        <v>#N/A</v>
      </c>
      <c r="H111" s="7" t="e">
        <f t="shared" si="13"/>
        <v>#N/A</v>
      </c>
      <c r="I111" s="7" t="e">
        <f t="shared" si="14"/>
        <v>#N/A</v>
      </c>
      <c r="J111" s="8" t="e">
        <f t="shared" si="15"/>
        <v>#N/A</v>
      </c>
      <c r="K111" s="8" t="e">
        <f t="shared" si="16"/>
        <v>#N/A</v>
      </c>
      <c r="M111" s="44"/>
    </row>
    <row r="112" spans="1:13" x14ac:dyDescent="0.25">
      <c r="A112" s="4" t="e">
        <f t="shared" si="17"/>
        <v>#N/A</v>
      </c>
      <c r="B112" s="4" t="e">
        <f t="shared" si="21"/>
        <v>#N/A</v>
      </c>
      <c r="C112" s="5" t="e">
        <f t="shared" si="18"/>
        <v>#N/A</v>
      </c>
      <c r="D112" s="7" t="e">
        <f t="shared" si="20"/>
        <v>#N/A</v>
      </c>
      <c r="E112" s="7" t="e">
        <f t="shared" si="19"/>
        <v>#N/A</v>
      </c>
      <c r="F112" s="7" t="e">
        <f t="shared" si="11"/>
        <v>#N/A</v>
      </c>
      <c r="G112" s="7" t="e">
        <f t="shared" si="12"/>
        <v>#N/A</v>
      </c>
      <c r="H112" s="7" t="e">
        <f t="shared" si="13"/>
        <v>#N/A</v>
      </c>
      <c r="I112" s="7" t="e">
        <f t="shared" si="14"/>
        <v>#N/A</v>
      </c>
      <c r="J112" s="8" t="e">
        <f t="shared" si="15"/>
        <v>#N/A</v>
      </c>
      <c r="K112" s="8" t="e">
        <f t="shared" si="16"/>
        <v>#N/A</v>
      </c>
      <c r="M112" s="44"/>
    </row>
    <row r="113" spans="1:13" x14ac:dyDescent="0.25">
      <c r="A113" s="4" t="e">
        <f t="shared" si="17"/>
        <v>#N/A</v>
      </c>
      <c r="B113" s="4" t="e">
        <f t="shared" si="21"/>
        <v>#N/A</v>
      </c>
      <c r="C113" s="5" t="e">
        <f t="shared" si="18"/>
        <v>#N/A</v>
      </c>
      <c r="D113" s="7" t="e">
        <f t="shared" si="20"/>
        <v>#N/A</v>
      </c>
      <c r="E113" s="7" t="e">
        <f t="shared" si="19"/>
        <v>#N/A</v>
      </c>
      <c r="F113" s="7" t="e">
        <f t="shared" ref="F113:F123" si="22">IF(ISERROR(A115),NA(),"")</f>
        <v>#N/A</v>
      </c>
      <c r="G113" s="7" t="e">
        <f t="shared" ref="G113:G123" si="23">IF(ISERROR(A115),NA(),IF(A115&lt;=$E$12,MIN($E$26*E115,$E$27*$E$26*D115),0))</f>
        <v>#N/A</v>
      </c>
      <c r="H113" s="7" t="e">
        <f t="shared" ref="H113:H123" si="24">IF(ISERROR(A115),NA(),IF(ISERROR(B115),0,IF(AND(B115&gt;=$K$18,B115&lt;($K$18+$K$21)),$K$19*(1+$K$20)^(B115-$K$18),0)))</f>
        <v>#N/A</v>
      </c>
      <c r="I113" s="7" t="e">
        <f t="shared" ref="I113:I123" si="25">IF(ISERROR(A115),NA(),IF(B115&gt;=$E$9,D115-H113,0))</f>
        <v>#N/A</v>
      </c>
      <c r="J113" s="8" t="e">
        <f t="shared" ref="J113:J123" si="26">IF(ISERROR(A115),NA(),FV(C115/$E$44,$E$44,-(E115+G113)/$E$44,-(K112-I113*$E$45),0)-(K112+E115+G113-I113*$E$45))</f>
        <v>#N/A</v>
      </c>
      <c r="K113" s="8" t="e">
        <f t="shared" ref="K113:K123" si="27">IF(ISERROR(A115),NA(),K112+E115+G113+J113-I113)</f>
        <v>#N/A</v>
      </c>
      <c r="M113" s="44"/>
    </row>
    <row r="114" spans="1:13" x14ac:dyDescent="0.25">
      <c r="A114" s="4" t="e">
        <f t="shared" si="17"/>
        <v>#N/A</v>
      </c>
      <c r="B114" s="4" t="e">
        <f t="shared" si="21"/>
        <v>#N/A</v>
      </c>
      <c r="C114" s="5" t="e">
        <f t="shared" si="18"/>
        <v>#N/A</v>
      </c>
      <c r="D114" s="7" t="e">
        <f t="shared" si="20"/>
        <v>#N/A</v>
      </c>
      <c r="E114" s="7" t="e">
        <f t="shared" si="19"/>
        <v>#N/A</v>
      </c>
      <c r="F114" s="7" t="e">
        <f t="shared" si="22"/>
        <v>#N/A</v>
      </c>
      <c r="G114" s="7" t="e">
        <f t="shared" si="23"/>
        <v>#N/A</v>
      </c>
      <c r="H114" s="7" t="e">
        <f t="shared" si="24"/>
        <v>#N/A</v>
      </c>
      <c r="I114" s="7" t="e">
        <f t="shared" si="25"/>
        <v>#N/A</v>
      </c>
      <c r="J114" s="8" t="e">
        <f t="shared" si="26"/>
        <v>#N/A</v>
      </c>
      <c r="K114" s="8" t="e">
        <f t="shared" si="27"/>
        <v>#N/A</v>
      </c>
      <c r="M114" s="44"/>
    </row>
    <row r="115" spans="1:13" x14ac:dyDescent="0.25">
      <c r="A115" s="4" t="e">
        <f t="shared" ref="A115:A125" si="28">IF($E$8&gt;=$E$9,NA(),IF(A114&lt;($E$9-$E$8)+$E$11,A114+1,NA()))</f>
        <v>#N/A</v>
      </c>
      <c r="B115" s="4" t="e">
        <f t="shared" si="21"/>
        <v>#N/A</v>
      </c>
      <c r="C115" s="5" t="e">
        <f t="shared" ref="C115:C125" si="29">IF(ISERROR(A115),NA(),IF(B115&lt;$E$9,$E$15,$E$16))</f>
        <v>#N/A</v>
      </c>
      <c r="D115" s="7" t="e">
        <f t="shared" si="20"/>
        <v>#N/A</v>
      </c>
      <c r="E115" s="7" t="e">
        <f t="shared" ref="E115:E125" si="30">IF(ISERROR(A115),NA(),IF(B115=$E$9-1,$K$25,0)+IF(A115&lt;=$E$12,$K$30*D115,0))</f>
        <v>#N/A</v>
      </c>
      <c r="F115" s="7" t="e">
        <f t="shared" si="22"/>
        <v>#N/A</v>
      </c>
      <c r="G115" s="7" t="e">
        <f t="shared" si="23"/>
        <v>#N/A</v>
      </c>
      <c r="H115" s="7" t="e">
        <f t="shared" si="24"/>
        <v>#N/A</v>
      </c>
      <c r="I115" s="7" t="e">
        <f t="shared" si="25"/>
        <v>#N/A</v>
      </c>
      <c r="J115" s="8" t="e">
        <f t="shared" si="26"/>
        <v>#N/A</v>
      </c>
      <c r="K115" s="8" t="e">
        <f t="shared" si="27"/>
        <v>#N/A</v>
      </c>
      <c r="M115" s="44"/>
    </row>
    <row r="116" spans="1:13" x14ac:dyDescent="0.25">
      <c r="A116" s="4" t="e">
        <f t="shared" si="28"/>
        <v>#N/A</v>
      </c>
      <c r="B116" s="4" t="e">
        <f t="shared" si="21"/>
        <v>#N/A</v>
      </c>
      <c r="C116" s="5" t="e">
        <f t="shared" si="29"/>
        <v>#N/A</v>
      </c>
      <c r="D116" s="7" t="e">
        <f t="shared" ref="D116:D125" si="31">IF(ISERROR(A116),NA(),IF(B116&gt;=$E$9,$K$9*(1+$E$17)^(B116-$E$9),(1+$E$22)*D115))</f>
        <v>#N/A</v>
      </c>
      <c r="E116" s="7" t="e">
        <f t="shared" si="30"/>
        <v>#N/A</v>
      </c>
      <c r="F116" s="7" t="e">
        <f t="shared" si="22"/>
        <v>#N/A</v>
      </c>
      <c r="G116" s="7" t="e">
        <f t="shared" si="23"/>
        <v>#N/A</v>
      </c>
      <c r="H116" s="7" t="e">
        <f t="shared" si="24"/>
        <v>#N/A</v>
      </c>
      <c r="I116" s="7" t="e">
        <f t="shared" si="25"/>
        <v>#N/A</v>
      </c>
      <c r="J116" s="8" t="e">
        <f t="shared" si="26"/>
        <v>#N/A</v>
      </c>
      <c r="K116" s="8" t="e">
        <f t="shared" si="27"/>
        <v>#N/A</v>
      </c>
    </row>
    <row r="117" spans="1:13" x14ac:dyDescent="0.25">
      <c r="A117" s="4" t="e">
        <f t="shared" si="28"/>
        <v>#N/A</v>
      </c>
      <c r="B117" s="4" t="e">
        <f t="shared" si="21"/>
        <v>#N/A</v>
      </c>
      <c r="C117" s="5" t="e">
        <f t="shared" si="29"/>
        <v>#N/A</v>
      </c>
      <c r="D117" s="7" t="e">
        <f t="shared" si="31"/>
        <v>#N/A</v>
      </c>
      <c r="E117" s="7" t="e">
        <f t="shared" si="30"/>
        <v>#N/A</v>
      </c>
      <c r="F117" s="7" t="e">
        <f t="shared" si="22"/>
        <v>#N/A</v>
      </c>
      <c r="G117" s="7" t="e">
        <f t="shared" si="23"/>
        <v>#N/A</v>
      </c>
      <c r="H117" s="7" t="e">
        <f t="shared" si="24"/>
        <v>#N/A</v>
      </c>
      <c r="I117" s="7" t="e">
        <f t="shared" si="25"/>
        <v>#N/A</v>
      </c>
      <c r="J117" s="8" t="e">
        <f t="shared" si="26"/>
        <v>#N/A</v>
      </c>
      <c r="K117" s="8" t="e">
        <f t="shared" si="27"/>
        <v>#N/A</v>
      </c>
    </row>
    <row r="118" spans="1:13" x14ac:dyDescent="0.25">
      <c r="A118" s="4" t="e">
        <f t="shared" si="28"/>
        <v>#N/A</v>
      </c>
      <c r="B118" s="4" t="e">
        <f t="shared" si="21"/>
        <v>#N/A</v>
      </c>
      <c r="C118" s="5" t="e">
        <f t="shared" si="29"/>
        <v>#N/A</v>
      </c>
      <c r="D118" s="7" t="e">
        <f t="shared" si="31"/>
        <v>#N/A</v>
      </c>
      <c r="E118" s="7" t="e">
        <f t="shared" si="30"/>
        <v>#N/A</v>
      </c>
      <c r="F118" s="7" t="e">
        <f t="shared" si="22"/>
        <v>#N/A</v>
      </c>
      <c r="G118" s="7" t="e">
        <f t="shared" si="23"/>
        <v>#N/A</v>
      </c>
      <c r="H118" s="7" t="e">
        <f t="shared" si="24"/>
        <v>#N/A</v>
      </c>
      <c r="I118" s="7" t="e">
        <f t="shared" si="25"/>
        <v>#N/A</v>
      </c>
      <c r="J118" s="8" t="e">
        <f t="shared" si="26"/>
        <v>#N/A</v>
      </c>
      <c r="K118" s="8" t="e">
        <f t="shared" si="27"/>
        <v>#N/A</v>
      </c>
    </row>
    <row r="119" spans="1:13" x14ac:dyDescent="0.25">
      <c r="A119" s="4" t="e">
        <f t="shared" si="28"/>
        <v>#N/A</v>
      </c>
      <c r="B119" s="4" t="e">
        <f t="shared" si="21"/>
        <v>#N/A</v>
      </c>
      <c r="C119" s="5" t="e">
        <f t="shared" si="29"/>
        <v>#N/A</v>
      </c>
      <c r="D119" s="7" t="e">
        <f t="shared" si="31"/>
        <v>#N/A</v>
      </c>
      <c r="E119" s="7" t="e">
        <f t="shared" si="30"/>
        <v>#N/A</v>
      </c>
      <c r="F119" s="7" t="e">
        <f t="shared" si="22"/>
        <v>#N/A</v>
      </c>
      <c r="G119" s="7" t="e">
        <f t="shared" si="23"/>
        <v>#N/A</v>
      </c>
      <c r="H119" s="7" t="e">
        <f t="shared" si="24"/>
        <v>#N/A</v>
      </c>
      <c r="I119" s="7" t="e">
        <f t="shared" si="25"/>
        <v>#N/A</v>
      </c>
      <c r="J119" s="8" t="e">
        <f t="shared" si="26"/>
        <v>#N/A</v>
      </c>
      <c r="K119" s="8" t="e">
        <f t="shared" si="27"/>
        <v>#N/A</v>
      </c>
    </row>
    <row r="120" spans="1:13" x14ac:dyDescent="0.25">
      <c r="A120" s="4" t="e">
        <f t="shared" si="28"/>
        <v>#N/A</v>
      </c>
      <c r="B120" s="4" t="e">
        <f t="shared" si="21"/>
        <v>#N/A</v>
      </c>
      <c r="C120" s="5" t="e">
        <f t="shared" si="29"/>
        <v>#N/A</v>
      </c>
      <c r="D120" s="7" t="e">
        <f t="shared" si="31"/>
        <v>#N/A</v>
      </c>
      <c r="E120" s="7" t="e">
        <f t="shared" si="30"/>
        <v>#N/A</v>
      </c>
      <c r="F120" s="7" t="e">
        <f t="shared" si="22"/>
        <v>#N/A</v>
      </c>
      <c r="G120" s="7" t="e">
        <f t="shared" si="23"/>
        <v>#N/A</v>
      </c>
      <c r="H120" s="7" t="e">
        <f t="shared" si="24"/>
        <v>#N/A</v>
      </c>
      <c r="I120" s="7" t="e">
        <f t="shared" si="25"/>
        <v>#N/A</v>
      </c>
      <c r="J120" s="8" t="e">
        <f t="shared" si="26"/>
        <v>#N/A</v>
      </c>
      <c r="K120" s="8" t="e">
        <f t="shared" si="27"/>
        <v>#N/A</v>
      </c>
    </row>
    <row r="121" spans="1:13" x14ac:dyDescent="0.25">
      <c r="A121" s="4" t="e">
        <f t="shared" si="28"/>
        <v>#N/A</v>
      </c>
      <c r="B121" s="4" t="e">
        <f t="shared" si="21"/>
        <v>#N/A</v>
      </c>
      <c r="C121" s="5" t="e">
        <f t="shared" si="29"/>
        <v>#N/A</v>
      </c>
      <c r="D121" s="7" t="e">
        <f t="shared" si="31"/>
        <v>#N/A</v>
      </c>
      <c r="E121" s="7" t="e">
        <f t="shared" si="30"/>
        <v>#N/A</v>
      </c>
      <c r="F121" s="7" t="e">
        <f t="shared" si="22"/>
        <v>#N/A</v>
      </c>
      <c r="G121" s="7" t="e">
        <f t="shared" si="23"/>
        <v>#N/A</v>
      </c>
      <c r="H121" s="7" t="e">
        <f t="shared" si="24"/>
        <v>#N/A</v>
      </c>
      <c r="I121" s="7" t="e">
        <f t="shared" si="25"/>
        <v>#N/A</v>
      </c>
      <c r="J121" s="8" t="e">
        <f t="shared" si="26"/>
        <v>#N/A</v>
      </c>
      <c r="K121" s="8" t="e">
        <f t="shared" si="27"/>
        <v>#N/A</v>
      </c>
    </row>
    <row r="122" spans="1:13" x14ac:dyDescent="0.25">
      <c r="A122" s="4" t="e">
        <f t="shared" si="28"/>
        <v>#N/A</v>
      </c>
      <c r="B122" s="4" t="e">
        <f t="shared" si="21"/>
        <v>#N/A</v>
      </c>
      <c r="C122" s="5" t="e">
        <f t="shared" si="29"/>
        <v>#N/A</v>
      </c>
      <c r="D122" s="7" t="e">
        <f t="shared" si="31"/>
        <v>#N/A</v>
      </c>
      <c r="E122" s="7" t="e">
        <f t="shared" si="30"/>
        <v>#N/A</v>
      </c>
      <c r="F122" s="7" t="e">
        <f t="shared" si="22"/>
        <v>#N/A</v>
      </c>
      <c r="G122" s="7" t="e">
        <f t="shared" si="23"/>
        <v>#N/A</v>
      </c>
      <c r="H122" s="7" t="e">
        <f t="shared" si="24"/>
        <v>#N/A</v>
      </c>
      <c r="I122" s="7" t="e">
        <f t="shared" si="25"/>
        <v>#N/A</v>
      </c>
      <c r="J122" s="8" t="e">
        <f t="shared" si="26"/>
        <v>#N/A</v>
      </c>
      <c r="K122" s="8" t="e">
        <f t="shared" si="27"/>
        <v>#N/A</v>
      </c>
    </row>
    <row r="123" spans="1:13" x14ac:dyDescent="0.25">
      <c r="A123" s="4" t="e">
        <f t="shared" si="28"/>
        <v>#N/A</v>
      </c>
      <c r="B123" s="4" t="e">
        <f t="shared" si="21"/>
        <v>#N/A</v>
      </c>
      <c r="C123" s="5" t="e">
        <f t="shared" si="29"/>
        <v>#N/A</v>
      </c>
      <c r="D123" s="7" t="e">
        <f t="shared" si="31"/>
        <v>#N/A</v>
      </c>
      <c r="E123" s="7" t="e">
        <f t="shared" si="30"/>
        <v>#N/A</v>
      </c>
      <c r="F123" s="7" t="e">
        <f t="shared" si="22"/>
        <v>#N/A</v>
      </c>
      <c r="G123" s="7" t="e">
        <f t="shared" si="23"/>
        <v>#N/A</v>
      </c>
      <c r="H123" s="7" t="e">
        <f t="shared" si="24"/>
        <v>#N/A</v>
      </c>
      <c r="I123" s="7" t="e">
        <f t="shared" si="25"/>
        <v>#N/A</v>
      </c>
      <c r="J123" s="8" t="e">
        <f t="shared" si="26"/>
        <v>#N/A</v>
      </c>
      <c r="K123" s="8" t="e">
        <f t="shared" si="27"/>
        <v>#N/A</v>
      </c>
    </row>
    <row r="124" spans="1:13" x14ac:dyDescent="0.25">
      <c r="A124" s="4" t="e">
        <f t="shared" si="28"/>
        <v>#N/A</v>
      </c>
      <c r="B124" s="4" t="e">
        <f>IF(ISERROR(A124),NA(),$E$8+A124-1)</f>
        <v>#N/A</v>
      </c>
      <c r="C124" s="5" t="e">
        <f t="shared" si="29"/>
        <v>#N/A</v>
      </c>
      <c r="D124" s="7" t="e">
        <f t="shared" si="31"/>
        <v>#N/A</v>
      </c>
      <c r="E124" s="7" t="e">
        <f t="shared" si="30"/>
        <v>#N/A</v>
      </c>
      <c r="F124" s="34"/>
      <c r="G124" s="34"/>
      <c r="H124" s="34"/>
      <c r="I124" s="34"/>
      <c r="J124" s="34"/>
      <c r="K124" s="34"/>
    </row>
    <row r="125" spans="1:13" x14ac:dyDescent="0.25">
      <c r="A125" s="4" t="e">
        <f t="shared" si="28"/>
        <v>#N/A</v>
      </c>
      <c r="B125" s="4" t="e">
        <f t="shared" si="21"/>
        <v>#N/A</v>
      </c>
      <c r="C125" s="5" t="e">
        <f t="shared" si="29"/>
        <v>#N/A</v>
      </c>
      <c r="D125" s="7" t="e">
        <f t="shared" si="31"/>
        <v>#N/A</v>
      </c>
      <c r="E125" s="7" t="e">
        <f t="shared" si="30"/>
        <v>#N/A</v>
      </c>
    </row>
    <row r="126" spans="1:13" x14ac:dyDescent="0.25">
      <c r="A126" s="34"/>
      <c r="B126" s="34"/>
      <c r="C126" s="34"/>
      <c r="D126" s="34"/>
      <c r="E126" s="34"/>
    </row>
    <row r="127" spans="1:13" x14ac:dyDescent="0.25">
      <c r="J127" s="1"/>
      <c r="K127" s="41" t="s">
        <v>29</v>
      </c>
    </row>
    <row r="128" spans="1:13" ht="26" thickBot="1" x14ac:dyDescent="0.3">
      <c r="F128" s="15"/>
      <c r="G128" s="15" t="s">
        <v>26</v>
      </c>
      <c r="H128" s="43" t="s">
        <v>34</v>
      </c>
      <c r="I128" s="33" t="s">
        <v>18</v>
      </c>
      <c r="J128" s="15" t="s">
        <v>22</v>
      </c>
      <c r="K128" s="16" t="s">
        <v>0</v>
      </c>
    </row>
    <row r="129" spans="1:11" x14ac:dyDescent="0.25">
      <c r="A129" s="3" t="str">
        <f>IF(E8=E9,"No Accumulation Phase","Table Based on "&amp;TEXT(E25,"0.00%")&amp;" Salary Contribution Scenario")</f>
        <v>Table Based on 0.00% Salary Contribution Scenario</v>
      </c>
      <c r="F129" s="13"/>
      <c r="G129" s="13"/>
      <c r="H129" s="13"/>
      <c r="I129" s="12"/>
      <c r="J129" s="12"/>
      <c r="K129" s="14">
        <f>Retirement!$K$13</f>
        <v>1000000</v>
      </c>
    </row>
    <row r="130" spans="1:11" ht="25.5" thickBot="1" x14ac:dyDescent="0.3">
      <c r="A130" s="15" t="s">
        <v>3</v>
      </c>
      <c r="B130" s="15" t="s">
        <v>4</v>
      </c>
      <c r="C130" s="15" t="s">
        <v>8</v>
      </c>
      <c r="D130" s="15" t="s">
        <v>20</v>
      </c>
      <c r="E130" s="15" t="s">
        <v>6</v>
      </c>
      <c r="F130" s="7" t="str">
        <f t="shared" ref="F130:F161" si="32">IF(ISERROR(A132),NA(),"")</f>
        <v/>
      </c>
      <c r="G130" s="7">
        <f t="shared" ref="G130:G161" si="33">IF(ISERROR(A132),NA(),IF(A132&lt;=$E$12,MIN($E$26*E132,$E$27*$E$26*D132),0))</f>
        <v>0</v>
      </c>
      <c r="H130" s="7">
        <f t="shared" ref="H130:H161" si="34">IF(ISERROR(A132),NA(),IF(ISERROR(B132),0,IF(AND(B132&gt;=$K$18,B132&lt;($K$18+$K$21)),$K$19*(1+$K$20)^(B132-$K$18),0)))</f>
        <v>0</v>
      </c>
      <c r="I130" s="7">
        <f t="shared" ref="I130:I161" si="35">IF(ISERROR(A132),NA(),IF(B132&gt;=$E$9,D132-H130,0))</f>
        <v>0</v>
      </c>
      <c r="J130" s="8">
        <f t="shared" ref="J130:J161" si="36">IF(ISERROR(A132),NA(),FV(C132/$E$44,$E$44,-(E132+G130)/$E$44,-(K129-I130*$E$45),0)-(K129+E132+G130-I130*$E$45))</f>
        <v>100000</v>
      </c>
      <c r="K130" s="8">
        <f t="shared" ref="K130:K161" si="37">IF(ISERROR(A132),NA(),K129+E132+G130+J130-I130)</f>
        <v>1100000</v>
      </c>
    </row>
    <row r="131" spans="1:11" x14ac:dyDescent="0.25">
      <c r="A131" s="12"/>
      <c r="B131" s="12"/>
      <c r="C131" s="12"/>
      <c r="D131" s="13"/>
      <c r="E131" s="13"/>
      <c r="F131" s="7" t="str">
        <f t="shared" si="32"/>
        <v/>
      </c>
      <c r="G131" s="7">
        <f t="shared" si="33"/>
        <v>0</v>
      </c>
      <c r="H131" s="7">
        <f t="shared" si="34"/>
        <v>0</v>
      </c>
      <c r="I131" s="7">
        <f t="shared" si="35"/>
        <v>0</v>
      </c>
      <c r="J131" s="8">
        <f t="shared" si="36"/>
        <v>110000</v>
      </c>
      <c r="K131" s="8">
        <f t="shared" si="37"/>
        <v>1210000</v>
      </c>
    </row>
    <row r="132" spans="1:11" x14ac:dyDescent="0.25">
      <c r="A132" s="4">
        <f t="shared" ref="A132:A163" si="38">IF(OR(K129&lt;0,A131&gt;=($E$9-$E$8)+$E$11),NA(),A131+1)</f>
        <v>1</v>
      </c>
      <c r="B132" s="4">
        <f>IF(ISERROR(A132),NA(),$E$8+A132-1)</f>
        <v>45</v>
      </c>
      <c r="C132" s="5">
        <f t="shared" ref="C132:C163" si="39">IF(ISERROR(A132),NA(),IF(B132&lt;$E$9,$E$15,$E$16))</f>
        <v>0.1</v>
      </c>
      <c r="D132" s="6">
        <f>IF(E8&gt;=E9,K8,E21)</f>
        <v>360000</v>
      </c>
      <c r="E132" s="7">
        <f t="shared" ref="E132:E163" si="40">IF(ISERROR(A132),NA(),IF(B132=$E$9-1,$K$25)+IF(A132&lt;=$E$12,$E$25*D132,0))</f>
        <v>0</v>
      </c>
      <c r="F132" s="7" t="str">
        <f t="shared" si="32"/>
        <v/>
      </c>
      <c r="G132" s="7">
        <f t="shared" si="33"/>
        <v>0</v>
      </c>
      <c r="H132" s="7">
        <f t="shared" si="34"/>
        <v>0</v>
      </c>
      <c r="I132" s="7">
        <f t="shared" si="35"/>
        <v>0</v>
      </c>
      <c r="J132" s="8">
        <f t="shared" si="36"/>
        <v>121000</v>
      </c>
      <c r="K132" s="8">
        <f t="shared" si="37"/>
        <v>1331000</v>
      </c>
    </row>
    <row r="133" spans="1:11" x14ac:dyDescent="0.25">
      <c r="A133" s="4">
        <f t="shared" si="38"/>
        <v>2</v>
      </c>
      <c r="B133" s="4">
        <f t="shared" ref="B133:B196" si="41">IF(ISERROR(A133),NA(),$E$8+A133-1)</f>
        <v>46</v>
      </c>
      <c r="C133" s="5">
        <f t="shared" si="39"/>
        <v>0.1</v>
      </c>
      <c r="D133" s="7">
        <f t="shared" ref="D133:D164" si="42">IF(ISERROR(A133),NA(),IF(B133&gt;=$E$9,$K$9*(1+$E$17)^(B133-$E$9),(1+$E$22)*D132))</f>
        <v>378000</v>
      </c>
      <c r="E133" s="7">
        <f t="shared" si="40"/>
        <v>0</v>
      </c>
      <c r="F133" s="7" t="str">
        <f t="shared" si="32"/>
        <v/>
      </c>
      <c r="G133" s="7">
        <f t="shared" si="33"/>
        <v>0</v>
      </c>
      <c r="H133" s="7">
        <f t="shared" si="34"/>
        <v>0</v>
      </c>
      <c r="I133" s="7">
        <f t="shared" si="35"/>
        <v>0</v>
      </c>
      <c r="J133" s="8">
        <f t="shared" si="36"/>
        <v>133100.00000000023</v>
      </c>
      <c r="K133" s="8">
        <f t="shared" si="37"/>
        <v>1464100.0000000002</v>
      </c>
    </row>
    <row r="134" spans="1:11" x14ac:dyDescent="0.25">
      <c r="A134" s="4">
        <f t="shared" si="38"/>
        <v>3</v>
      </c>
      <c r="B134" s="4">
        <f t="shared" si="41"/>
        <v>47</v>
      </c>
      <c r="C134" s="5">
        <f t="shared" si="39"/>
        <v>0.1</v>
      </c>
      <c r="D134" s="7">
        <f t="shared" si="42"/>
        <v>396900</v>
      </c>
      <c r="E134" s="7">
        <f t="shared" si="40"/>
        <v>0</v>
      </c>
      <c r="F134" s="7" t="str">
        <f t="shared" si="32"/>
        <v/>
      </c>
      <c r="G134" s="7">
        <f t="shared" si="33"/>
        <v>0</v>
      </c>
      <c r="H134" s="7">
        <f t="shared" si="34"/>
        <v>0</v>
      </c>
      <c r="I134" s="7">
        <f t="shared" si="35"/>
        <v>0</v>
      </c>
      <c r="J134" s="8">
        <f t="shared" si="36"/>
        <v>146410.00000000023</v>
      </c>
      <c r="K134" s="8">
        <f t="shared" si="37"/>
        <v>1610510.0000000005</v>
      </c>
    </row>
    <row r="135" spans="1:11" x14ac:dyDescent="0.25">
      <c r="A135" s="4">
        <f t="shared" si="38"/>
        <v>4</v>
      </c>
      <c r="B135" s="4">
        <f t="shared" si="41"/>
        <v>48</v>
      </c>
      <c r="C135" s="5">
        <f t="shared" si="39"/>
        <v>0.1</v>
      </c>
      <c r="D135" s="7">
        <f t="shared" si="42"/>
        <v>416745</v>
      </c>
      <c r="E135" s="7">
        <f t="shared" si="40"/>
        <v>0</v>
      </c>
      <c r="F135" s="7" t="str">
        <f t="shared" si="32"/>
        <v/>
      </c>
      <c r="G135" s="7">
        <f t="shared" si="33"/>
        <v>0</v>
      </c>
      <c r="H135" s="7">
        <f t="shared" si="34"/>
        <v>0</v>
      </c>
      <c r="I135" s="7">
        <f t="shared" si="35"/>
        <v>0</v>
      </c>
      <c r="J135" s="8">
        <f t="shared" si="36"/>
        <v>161051.00000000023</v>
      </c>
      <c r="K135" s="8">
        <f t="shared" si="37"/>
        <v>1771561.0000000007</v>
      </c>
    </row>
    <row r="136" spans="1:11" x14ac:dyDescent="0.25">
      <c r="A136" s="4">
        <f t="shared" si="38"/>
        <v>5</v>
      </c>
      <c r="B136" s="4">
        <f t="shared" si="41"/>
        <v>49</v>
      </c>
      <c r="C136" s="5">
        <f t="shared" si="39"/>
        <v>0.1</v>
      </c>
      <c r="D136" s="7">
        <f t="shared" si="42"/>
        <v>437582.25</v>
      </c>
      <c r="E136" s="7">
        <f t="shared" si="40"/>
        <v>0</v>
      </c>
      <c r="F136" s="7" t="str">
        <f t="shared" si="32"/>
        <v/>
      </c>
      <c r="G136" s="7">
        <f t="shared" si="33"/>
        <v>0</v>
      </c>
      <c r="H136" s="7">
        <f t="shared" si="34"/>
        <v>0</v>
      </c>
      <c r="I136" s="7">
        <f t="shared" si="35"/>
        <v>0</v>
      </c>
      <c r="J136" s="8">
        <f t="shared" si="36"/>
        <v>177156.10000000033</v>
      </c>
      <c r="K136" s="8">
        <f t="shared" si="37"/>
        <v>1948717.100000001</v>
      </c>
    </row>
    <row r="137" spans="1:11" x14ac:dyDescent="0.25">
      <c r="A137" s="4">
        <f t="shared" si="38"/>
        <v>6</v>
      </c>
      <c r="B137" s="4">
        <f t="shared" si="41"/>
        <v>50</v>
      </c>
      <c r="C137" s="5">
        <f t="shared" si="39"/>
        <v>0.1</v>
      </c>
      <c r="D137" s="7">
        <f t="shared" si="42"/>
        <v>459461.36250000005</v>
      </c>
      <c r="E137" s="7">
        <f t="shared" si="40"/>
        <v>0</v>
      </c>
      <c r="F137" s="7" t="str">
        <f t="shared" si="32"/>
        <v/>
      </c>
      <c r="G137" s="7">
        <f t="shared" si="33"/>
        <v>0</v>
      </c>
      <c r="H137" s="7">
        <f t="shared" si="34"/>
        <v>0</v>
      </c>
      <c r="I137" s="7">
        <f t="shared" si="35"/>
        <v>0</v>
      </c>
      <c r="J137" s="8">
        <f t="shared" si="36"/>
        <v>194871.71000000043</v>
      </c>
      <c r="K137" s="8">
        <f t="shared" si="37"/>
        <v>2143588.8100000015</v>
      </c>
    </row>
    <row r="138" spans="1:11" x14ac:dyDescent="0.25">
      <c r="A138" s="4">
        <f t="shared" si="38"/>
        <v>7</v>
      </c>
      <c r="B138" s="4">
        <f t="shared" si="41"/>
        <v>51</v>
      </c>
      <c r="C138" s="5">
        <f t="shared" si="39"/>
        <v>0.1</v>
      </c>
      <c r="D138" s="7">
        <f t="shared" si="42"/>
        <v>482434.4306250001</v>
      </c>
      <c r="E138" s="7">
        <f t="shared" si="40"/>
        <v>0</v>
      </c>
      <c r="F138" s="7" t="str">
        <f t="shared" si="32"/>
        <v/>
      </c>
      <c r="G138" s="7">
        <f t="shared" si="33"/>
        <v>0</v>
      </c>
      <c r="H138" s="7">
        <f t="shared" si="34"/>
        <v>0</v>
      </c>
      <c r="I138" s="7">
        <f t="shared" si="35"/>
        <v>0</v>
      </c>
      <c r="J138" s="8">
        <f t="shared" si="36"/>
        <v>214358.88100000052</v>
      </c>
      <c r="K138" s="8">
        <f t="shared" si="37"/>
        <v>2357947.691000002</v>
      </c>
    </row>
    <row r="139" spans="1:11" x14ac:dyDescent="0.25">
      <c r="A139" s="4">
        <f t="shared" si="38"/>
        <v>8</v>
      </c>
      <c r="B139" s="4">
        <f t="shared" si="41"/>
        <v>52</v>
      </c>
      <c r="C139" s="5">
        <f t="shared" si="39"/>
        <v>0.1</v>
      </c>
      <c r="D139" s="7">
        <f t="shared" si="42"/>
        <v>506556.15215625014</v>
      </c>
      <c r="E139" s="7">
        <f t="shared" si="40"/>
        <v>0</v>
      </c>
      <c r="F139" s="7" t="str">
        <f t="shared" si="32"/>
        <v/>
      </c>
      <c r="G139" s="7">
        <f t="shared" si="33"/>
        <v>0</v>
      </c>
      <c r="H139" s="7">
        <f t="shared" si="34"/>
        <v>0</v>
      </c>
      <c r="I139" s="7">
        <f t="shared" si="35"/>
        <v>0</v>
      </c>
      <c r="J139" s="8">
        <f t="shared" si="36"/>
        <v>235794.76910000062</v>
      </c>
      <c r="K139" s="8">
        <f t="shared" si="37"/>
        <v>2593742.4601000026</v>
      </c>
    </row>
    <row r="140" spans="1:11" x14ac:dyDescent="0.25">
      <c r="A140" s="4">
        <f t="shared" si="38"/>
        <v>9</v>
      </c>
      <c r="B140" s="4">
        <f t="shared" si="41"/>
        <v>53</v>
      </c>
      <c r="C140" s="5">
        <f t="shared" si="39"/>
        <v>0.1</v>
      </c>
      <c r="D140" s="7">
        <f t="shared" si="42"/>
        <v>531883.95976406266</v>
      </c>
      <c r="E140" s="7">
        <f t="shared" si="40"/>
        <v>0</v>
      </c>
      <c r="F140" s="7" t="str">
        <f t="shared" si="32"/>
        <v/>
      </c>
      <c r="G140" s="7">
        <f t="shared" si="33"/>
        <v>0</v>
      </c>
      <c r="H140" s="7">
        <f t="shared" si="34"/>
        <v>0</v>
      </c>
      <c r="I140" s="7">
        <f t="shared" si="35"/>
        <v>0</v>
      </c>
      <c r="J140" s="8">
        <f t="shared" si="36"/>
        <v>259374.24601000035</v>
      </c>
      <c r="K140" s="8">
        <f t="shared" si="37"/>
        <v>2853116.7061100029</v>
      </c>
    </row>
    <row r="141" spans="1:11" x14ac:dyDescent="0.25">
      <c r="A141" s="4">
        <f t="shared" si="38"/>
        <v>10</v>
      </c>
      <c r="B141" s="4">
        <f t="shared" si="41"/>
        <v>54</v>
      </c>
      <c r="C141" s="5">
        <f t="shared" si="39"/>
        <v>0.1</v>
      </c>
      <c r="D141" s="7">
        <f t="shared" si="42"/>
        <v>558478.1577522658</v>
      </c>
      <c r="E141" s="7">
        <f t="shared" si="40"/>
        <v>0</v>
      </c>
      <c r="F141" s="7" t="str">
        <f t="shared" si="32"/>
        <v/>
      </c>
      <c r="G141" s="7">
        <f t="shared" si="33"/>
        <v>0</v>
      </c>
      <c r="H141" s="7">
        <f t="shared" si="34"/>
        <v>0</v>
      </c>
      <c r="I141" s="7">
        <f t="shared" si="35"/>
        <v>0</v>
      </c>
      <c r="J141" s="8">
        <f t="shared" si="36"/>
        <v>285311.67061100062</v>
      </c>
      <c r="K141" s="8">
        <f t="shared" si="37"/>
        <v>3138428.3767210036</v>
      </c>
    </row>
    <row r="142" spans="1:11" x14ac:dyDescent="0.25">
      <c r="A142" s="4">
        <f t="shared" si="38"/>
        <v>11</v>
      </c>
      <c r="B142" s="4">
        <f t="shared" si="41"/>
        <v>55</v>
      </c>
      <c r="C142" s="5">
        <f t="shared" si="39"/>
        <v>0.1</v>
      </c>
      <c r="D142" s="7">
        <f t="shared" si="42"/>
        <v>586402.06563987909</v>
      </c>
      <c r="E142" s="7">
        <f t="shared" si="40"/>
        <v>0</v>
      </c>
      <c r="F142" s="7" t="str">
        <f t="shared" si="32"/>
        <v/>
      </c>
      <c r="G142" s="7">
        <f t="shared" si="33"/>
        <v>0</v>
      </c>
      <c r="H142" s="7">
        <f t="shared" si="34"/>
        <v>0</v>
      </c>
      <c r="I142" s="7">
        <f t="shared" si="35"/>
        <v>0</v>
      </c>
      <c r="J142" s="8">
        <f t="shared" si="36"/>
        <v>313842.8376721004</v>
      </c>
      <c r="K142" s="8">
        <f t="shared" si="37"/>
        <v>3452271.214393104</v>
      </c>
    </row>
    <row r="143" spans="1:11" x14ac:dyDescent="0.25">
      <c r="A143" s="4">
        <f t="shared" si="38"/>
        <v>12</v>
      </c>
      <c r="B143" s="4">
        <f t="shared" si="41"/>
        <v>56</v>
      </c>
      <c r="C143" s="5">
        <f t="shared" si="39"/>
        <v>0.1</v>
      </c>
      <c r="D143" s="7">
        <f t="shared" si="42"/>
        <v>615722.16892187309</v>
      </c>
      <c r="E143" s="7">
        <f t="shared" si="40"/>
        <v>0</v>
      </c>
      <c r="F143" s="7" t="str">
        <f t="shared" si="32"/>
        <v/>
      </c>
      <c r="G143" s="7">
        <f t="shared" si="33"/>
        <v>0</v>
      </c>
      <c r="H143" s="7">
        <f t="shared" si="34"/>
        <v>0</v>
      </c>
      <c r="I143" s="7">
        <f t="shared" si="35"/>
        <v>0</v>
      </c>
      <c r="J143" s="8">
        <f t="shared" si="36"/>
        <v>345227.12143931072</v>
      </c>
      <c r="K143" s="8">
        <f t="shared" si="37"/>
        <v>3797498.3358324147</v>
      </c>
    </row>
    <row r="144" spans="1:11" x14ac:dyDescent="0.25">
      <c r="A144" s="4">
        <f t="shared" si="38"/>
        <v>13</v>
      </c>
      <c r="B144" s="4">
        <f t="shared" si="41"/>
        <v>57</v>
      </c>
      <c r="C144" s="5">
        <f t="shared" si="39"/>
        <v>0.1</v>
      </c>
      <c r="D144" s="7">
        <f t="shared" si="42"/>
        <v>646508.27736796672</v>
      </c>
      <c r="E144" s="7">
        <f t="shared" si="40"/>
        <v>0</v>
      </c>
      <c r="F144" s="7" t="str">
        <f t="shared" si="32"/>
        <v/>
      </c>
      <c r="G144" s="7">
        <f t="shared" si="33"/>
        <v>0</v>
      </c>
      <c r="H144" s="7">
        <f t="shared" si="34"/>
        <v>0</v>
      </c>
      <c r="I144" s="7">
        <f t="shared" si="35"/>
        <v>0</v>
      </c>
      <c r="J144" s="8">
        <f t="shared" si="36"/>
        <v>379749.83358324179</v>
      </c>
      <c r="K144" s="8">
        <f t="shared" si="37"/>
        <v>4177248.1694156565</v>
      </c>
    </row>
    <row r="145" spans="1:11" x14ac:dyDescent="0.25">
      <c r="A145" s="4">
        <f t="shared" si="38"/>
        <v>14</v>
      </c>
      <c r="B145" s="4">
        <f t="shared" si="41"/>
        <v>58</v>
      </c>
      <c r="C145" s="5">
        <f t="shared" si="39"/>
        <v>0.1</v>
      </c>
      <c r="D145" s="7">
        <f t="shared" si="42"/>
        <v>678833.69123636512</v>
      </c>
      <c r="E145" s="7">
        <f t="shared" si="40"/>
        <v>0</v>
      </c>
      <c r="F145" s="7" t="str">
        <f t="shared" si="32"/>
        <v/>
      </c>
      <c r="G145" s="7">
        <f t="shared" si="33"/>
        <v>0</v>
      </c>
      <c r="H145" s="7">
        <f t="shared" si="34"/>
        <v>0</v>
      </c>
      <c r="I145" s="7">
        <f t="shared" si="35"/>
        <v>0</v>
      </c>
      <c r="J145" s="8">
        <f t="shared" si="36"/>
        <v>417724.81694156583</v>
      </c>
      <c r="K145" s="8">
        <f t="shared" si="37"/>
        <v>4594972.9863572223</v>
      </c>
    </row>
    <row r="146" spans="1:11" x14ac:dyDescent="0.25">
      <c r="A146" s="4">
        <f t="shared" si="38"/>
        <v>15</v>
      </c>
      <c r="B146" s="4">
        <f t="shared" si="41"/>
        <v>59</v>
      </c>
      <c r="C146" s="5">
        <f t="shared" si="39"/>
        <v>0.1</v>
      </c>
      <c r="D146" s="7">
        <f t="shared" si="42"/>
        <v>712775.37579818338</v>
      </c>
      <c r="E146" s="7">
        <f t="shared" si="40"/>
        <v>0</v>
      </c>
      <c r="F146" s="7" t="str">
        <f t="shared" si="32"/>
        <v/>
      </c>
      <c r="G146" s="7">
        <f t="shared" si="33"/>
        <v>0</v>
      </c>
      <c r="H146" s="7">
        <f t="shared" si="34"/>
        <v>0</v>
      </c>
      <c r="I146" s="7">
        <f t="shared" si="35"/>
        <v>0</v>
      </c>
      <c r="J146" s="8">
        <f t="shared" si="36"/>
        <v>459497.29863572307</v>
      </c>
      <c r="K146" s="8">
        <f t="shared" si="37"/>
        <v>5054470.2849929454</v>
      </c>
    </row>
    <row r="147" spans="1:11" x14ac:dyDescent="0.25">
      <c r="A147" s="4">
        <f t="shared" si="38"/>
        <v>16</v>
      </c>
      <c r="B147" s="4">
        <f t="shared" si="41"/>
        <v>60</v>
      </c>
      <c r="C147" s="5">
        <f t="shared" si="39"/>
        <v>0.1</v>
      </c>
      <c r="D147" s="7">
        <f t="shared" si="42"/>
        <v>748414.14458809257</v>
      </c>
      <c r="E147" s="7">
        <f t="shared" si="40"/>
        <v>0</v>
      </c>
      <c r="F147" s="7" t="str">
        <f t="shared" si="32"/>
        <v/>
      </c>
      <c r="G147" s="7">
        <f t="shared" si="33"/>
        <v>0</v>
      </c>
      <c r="H147" s="7">
        <f t="shared" si="34"/>
        <v>0</v>
      </c>
      <c r="I147" s="7">
        <f t="shared" si="35"/>
        <v>0</v>
      </c>
      <c r="J147" s="8">
        <f t="shared" si="36"/>
        <v>505447.028499295</v>
      </c>
      <c r="K147" s="8">
        <f t="shared" si="37"/>
        <v>5559917.3134922404</v>
      </c>
    </row>
    <row r="148" spans="1:11" x14ac:dyDescent="0.25">
      <c r="A148" s="4">
        <f t="shared" si="38"/>
        <v>17</v>
      </c>
      <c r="B148" s="4">
        <f t="shared" si="41"/>
        <v>61</v>
      </c>
      <c r="C148" s="5">
        <f t="shared" si="39"/>
        <v>0.1</v>
      </c>
      <c r="D148" s="7">
        <f t="shared" si="42"/>
        <v>785834.85181749729</v>
      </c>
      <c r="E148" s="7">
        <f t="shared" si="40"/>
        <v>0</v>
      </c>
      <c r="F148" s="7" t="str">
        <f t="shared" si="32"/>
        <v/>
      </c>
      <c r="G148" s="7">
        <f t="shared" si="33"/>
        <v>0</v>
      </c>
      <c r="H148" s="7">
        <f t="shared" si="34"/>
        <v>0</v>
      </c>
      <c r="I148" s="7">
        <f t="shared" si="35"/>
        <v>0</v>
      </c>
      <c r="J148" s="8">
        <f t="shared" si="36"/>
        <v>555991.73134922422</v>
      </c>
      <c r="K148" s="8">
        <f t="shared" si="37"/>
        <v>6115909.0448414646</v>
      </c>
    </row>
    <row r="149" spans="1:11" x14ac:dyDescent="0.25">
      <c r="A149" s="4">
        <f t="shared" si="38"/>
        <v>18</v>
      </c>
      <c r="B149" s="4">
        <f t="shared" si="41"/>
        <v>62</v>
      </c>
      <c r="C149" s="5">
        <f t="shared" si="39"/>
        <v>0.1</v>
      </c>
      <c r="D149" s="7">
        <f t="shared" si="42"/>
        <v>825126.59440837218</v>
      </c>
      <c r="E149" s="7">
        <f t="shared" si="40"/>
        <v>0</v>
      </c>
      <c r="F149" s="7" t="str">
        <f t="shared" si="32"/>
        <v/>
      </c>
      <c r="G149" s="7">
        <f t="shared" si="33"/>
        <v>0</v>
      </c>
      <c r="H149" s="7">
        <f t="shared" si="34"/>
        <v>0</v>
      </c>
      <c r="I149" s="7">
        <f t="shared" si="35"/>
        <v>0</v>
      </c>
      <c r="J149" s="8">
        <f t="shared" si="36"/>
        <v>611590.90448414721</v>
      </c>
      <c r="K149" s="8">
        <f t="shared" si="37"/>
        <v>6727499.9493256118</v>
      </c>
    </row>
    <row r="150" spans="1:11" x14ac:dyDescent="0.25">
      <c r="A150" s="4">
        <f t="shared" si="38"/>
        <v>19</v>
      </c>
      <c r="B150" s="4">
        <f t="shared" si="41"/>
        <v>63</v>
      </c>
      <c r="C150" s="5">
        <f t="shared" si="39"/>
        <v>0.1</v>
      </c>
      <c r="D150" s="7">
        <f t="shared" si="42"/>
        <v>866382.92412879085</v>
      </c>
      <c r="E150" s="7">
        <f t="shared" si="40"/>
        <v>0</v>
      </c>
      <c r="F150" s="7" t="str">
        <f t="shared" si="32"/>
        <v/>
      </c>
      <c r="G150" s="7">
        <f t="shared" si="33"/>
        <v>0</v>
      </c>
      <c r="H150" s="7">
        <f t="shared" si="34"/>
        <v>3000</v>
      </c>
      <c r="I150" s="7">
        <f t="shared" si="35"/>
        <v>177611.12346694132</v>
      </c>
      <c r="J150" s="8">
        <f t="shared" si="36"/>
        <v>327494.44129293412</v>
      </c>
      <c r="K150" s="8">
        <f t="shared" si="37"/>
        <v>6877383.2671516044</v>
      </c>
    </row>
    <row r="151" spans="1:11" x14ac:dyDescent="0.25">
      <c r="A151" s="4">
        <f t="shared" si="38"/>
        <v>20</v>
      </c>
      <c r="B151" s="4">
        <f t="shared" si="41"/>
        <v>64</v>
      </c>
      <c r="C151" s="5">
        <f t="shared" si="39"/>
        <v>0.1</v>
      </c>
      <c r="D151" s="7">
        <f t="shared" si="42"/>
        <v>909702.07033523044</v>
      </c>
      <c r="E151" s="7">
        <f t="shared" si="40"/>
        <v>0</v>
      </c>
      <c r="F151" s="7" t="str">
        <f t="shared" si="32"/>
        <v/>
      </c>
      <c r="G151" s="7">
        <f t="shared" si="33"/>
        <v>0</v>
      </c>
      <c r="H151" s="7">
        <f t="shared" si="34"/>
        <v>3210</v>
      </c>
      <c r="I151" s="7">
        <f t="shared" si="35"/>
        <v>182819.45717094958</v>
      </c>
      <c r="J151" s="8">
        <f t="shared" si="36"/>
        <v>334728.19049903285</v>
      </c>
      <c r="K151" s="8">
        <f t="shared" si="37"/>
        <v>7029292.0004796879</v>
      </c>
    </row>
    <row r="152" spans="1:11" x14ac:dyDescent="0.25">
      <c r="A152" s="4">
        <f t="shared" si="38"/>
        <v>21</v>
      </c>
      <c r="B152" s="4">
        <f t="shared" si="41"/>
        <v>65</v>
      </c>
      <c r="C152" s="5">
        <f t="shared" si="39"/>
        <v>0.05</v>
      </c>
      <c r="D152" s="7">
        <f t="shared" si="42"/>
        <v>180611.12346694132</v>
      </c>
      <c r="E152" s="7">
        <f t="shared" si="40"/>
        <v>0</v>
      </c>
      <c r="F152" s="7" t="str">
        <f t="shared" si="32"/>
        <v/>
      </c>
      <c r="G152" s="7">
        <f t="shared" si="33"/>
        <v>0</v>
      </c>
      <c r="H152" s="7">
        <f t="shared" si="34"/>
        <v>3434.7000000000003</v>
      </c>
      <c r="I152" s="7">
        <f t="shared" si="35"/>
        <v>188175.64088607804</v>
      </c>
      <c r="J152" s="8">
        <f t="shared" si="36"/>
        <v>342055.81797968037</v>
      </c>
      <c r="K152" s="8">
        <f t="shared" si="37"/>
        <v>7183172.1775732907</v>
      </c>
    </row>
    <row r="153" spans="1:11" x14ac:dyDescent="0.25">
      <c r="A153" s="4">
        <f t="shared" si="38"/>
        <v>22</v>
      </c>
      <c r="B153" s="4">
        <f t="shared" si="41"/>
        <v>66</v>
      </c>
      <c r="C153" s="5">
        <f t="shared" si="39"/>
        <v>0.05</v>
      </c>
      <c r="D153" s="7">
        <f t="shared" si="42"/>
        <v>186029.45717094958</v>
      </c>
      <c r="E153" s="7">
        <f t="shared" si="40"/>
        <v>0</v>
      </c>
      <c r="F153" s="7" t="str">
        <f t="shared" si="32"/>
        <v/>
      </c>
      <c r="G153" s="7">
        <f t="shared" si="33"/>
        <v>0</v>
      </c>
      <c r="H153" s="7">
        <f t="shared" si="34"/>
        <v>3675.1290000000004</v>
      </c>
      <c r="I153" s="7">
        <f t="shared" si="35"/>
        <v>193683.5221126604</v>
      </c>
      <c r="J153" s="8">
        <f t="shared" si="36"/>
        <v>349474.43277303223</v>
      </c>
      <c r="K153" s="8">
        <f t="shared" si="37"/>
        <v>7338963.0882336628</v>
      </c>
    </row>
    <row r="154" spans="1:11" x14ac:dyDescent="0.25">
      <c r="A154" s="4">
        <f t="shared" si="38"/>
        <v>23</v>
      </c>
      <c r="B154" s="4">
        <f t="shared" si="41"/>
        <v>67</v>
      </c>
      <c r="C154" s="5">
        <f t="shared" si="39"/>
        <v>0.05</v>
      </c>
      <c r="D154" s="7">
        <f t="shared" si="42"/>
        <v>191610.34088607805</v>
      </c>
      <c r="E154" s="7">
        <f t="shared" si="40"/>
        <v>0</v>
      </c>
      <c r="F154" s="7" t="str">
        <f t="shared" si="32"/>
        <v/>
      </c>
      <c r="G154" s="7">
        <f t="shared" si="33"/>
        <v>0</v>
      </c>
      <c r="H154" s="7">
        <f t="shared" si="34"/>
        <v>3932.3880300000001</v>
      </c>
      <c r="I154" s="7">
        <f t="shared" si="35"/>
        <v>199347.02261604019</v>
      </c>
      <c r="J154" s="8">
        <f t="shared" si="36"/>
        <v>356980.80328088161</v>
      </c>
      <c r="K154" s="8">
        <f t="shared" si="37"/>
        <v>7496596.8688985044</v>
      </c>
    </row>
    <row r="155" spans="1:11" x14ac:dyDescent="0.25">
      <c r="A155" s="4">
        <f t="shared" si="38"/>
        <v>24</v>
      </c>
      <c r="B155" s="4">
        <f t="shared" si="41"/>
        <v>68</v>
      </c>
      <c r="C155" s="5">
        <f t="shared" si="39"/>
        <v>0.05</v>
      </c>
      <c r="D155" s="7">
        <f t="shared" si="42"/>
        <v>197358.65111266039</v>
      </c>
      <c r="E155" s="7">
        <f t="shared" si="40"/>
        <v>0</v>
      </c>
      <c r="F155" s="7" t="str">
        <f t="shared" si="32"/>
        <v/>
      </c>
      <c r="G155" s="7">
        <f t="shared" si="33"/>
        <v>0</v>
      </c>
      <c r="H155" s="7">
        <f t="shared" si="34"/>
        <v>4207.6551921000009</v>
      </c>
      <c r="I155" s="7">
        <f t="shared" si="35"/>
        <v>205170.13777332139</v>
      </c>
      <c r="J155" s="8">
        <f t="shared" si="36"/>
        <v>364571.33655625954</v>
      </c>
      <c r="K155" s="8">
        <f t="shared" si="37"/>
        <v>7655998.0676814429</v>
      </c>
    </row>
    <row r="156" spans="1:11" x14ac:dyDescent="0.25">
      <c r="A156" s="4">
        <f t="shared" si="38"/>
        <v>25</v>
      </c>
      <c r="B156" s="4">
        <f t="shared" si="41"/>
        <v>69</v>
      </c>
      <c r="C156" s="5">
        <f t="shared" si="39"/>
        <v>0.05</v>
      </c>
      <c r="D156" s="7">
        <f t="shared" si="42"/>
        <v>203279.4106460402</v>
      </c>
      <c r="E156" s="7">
        <f t="shared" si="40"/>
        <v>0</v>
      </c>
      <c r="F156" s="7" t="str">
        <f t="shared" si="32"/>
        <v/>
      </c>
      <c r="G156" s="7">
        <f t="shared" si="33"/>
        <v>0</v>
      </c>
      <c r="H156" s="7">
        <f t="shared" si="34"/>
        <v>4502.1910555470004</v>
      </c>
      <c r="I156" s="7">
        <f t="shared" si="35"/>
        <v>211156.93569883704</v>
      </c>
      <c r="J156" s="8">
        <f t="shared" si="36"/>
        <v>372242.05659913085</v>
      </c>
      <c r="K156" s="8">
        <f t="shared" si="37"/>
        <v>7817083.1885817368</v>
      </c>
    </row>
    <row r="157" spans="1:11" x14ac:dyDescent="0.25">
      <c r="A157" s="4">
        <f t="shared" si="38"/>
        <v>26</v>
      </c>
      <c r="B157" s="4">
        <f t="shared" si="41"/>
        <v>70</v>
      </c>
      <c r="C157" s="5">
        <f t="shared" si="39"/>
        <v>0.05</v>
      </c>
      <c r="D157" s="7">
        <f t="shared" si="42"/>
        <v>209377.79296542139</v>
      </c>
      <c r="E157" s="7">
        <f t="shared" si="40"/>
        <v>0</v>
      </c>
      <c r="F157" s="7" t="str">
        <f t="shared" si="32"/>
        <v/>
      </c>
      <c r="G157" s="7">
        <f t="shared" si="33"/>
        <v>0</v>
      </c>
      <c r="H157" s="7">
        <f t="shared" si="34"/>
        <v>4817.3444294352903</v>
      </c>
      <c r="I157" s="7">
        <f t="shared" si="35"/>
        <v>217311.55612758026</v>
      </c>
      <c r="J157" s="8">
        <f t="shared" si="36"/>
        <v>379988.58162270859</v>
      </c>
      <c r="K157" s="8">
        <f t="shared" si="37"/>
        <v>7979760.2140768655</v>
      </c>
    </row>
    <row r="158" spans="1:11" x14ac:dyDescent="0.25">
      <c r="A158" s="4">
        <f t="shared" si="38"/>
        <v>27</v>
      </c>
      <c r="B158" s="4">
        <f t="shared" si="41"/>
        <v>71</v>
      </c>
      <c r="C158" s="5">
        <f t="shared" si="39"/>
        <v>0.05</v>
      </c>
      <c r="D158" s="7">
        <f t="shared" si="42"/>
        <v>215659.12675438405</v>
      </c>
      <c r="E158" s="7">
        <f t="shared" si="40"/>
        <v>0</v>
      </c>
      <c r="F158" s="7" t="str">
        <f t="shared" si="32"/>
        <v/>
      </c>
      <c r="G158" s="7">
        <f t="shared" si="33"/>
        <v>0</v>
      </c>
      <c r="H158" s="7">
        <f t="shared" si="34"/>
        <v>5154.5585394957607</v>
      </c>
      <c r="I158" s="7">
        <f t="shared" si="35"/>
        <v>223638.20903423024</v>
      </c>
      <c r="J158" s="8">
        <f t="shared" si="36"/>
        <v>387806.10025213193</v>
      </c>
      <c r="K158" s="8">
        <f t="shared" si="37"/>
        <v>8143928.1052947668</v>
      </c>
    </row>
    <row r="159" spans="1:11" x14ac:dyDescent="0.25">
      <c r="A159" s="4">
        <f t="shared" si="38"/>
        <v>28</v>
      </c>
      <c r="B159" s="4">
        <f t="shared" si="41"/>
        <v>72</v>
      </c>
      <c r="C159" s="5">
        <f t="shared" si="39"/>
        <v>0.05</v>
      </c>
      <c r="D159" s="7">
        <f t="shared" si="42"/>
        <v>222128.90055701556</v>
      </c>
      <c r="E159" s="7">
        <f t="shared" si="40"/>
        <v>0</v>
      </c>
      <c r="F159" s="7" t="str">
        <f t="shared" si="32"/>
        <v/>
      </c>
      <c r="G159" s="7">
        <f t="shared" si="33"/>
        <v>0</v>
      </c>
      <c r="H159" s="7">
        <f t="shared" si="34"/>
        <v>5515.3776372604643</v>
      </c>
      <c r="I159" s="7">
        <f t="shared" si="35"/>
        <v>230141.17296367732</v>
      </c>
      <c r="J159" s="8">
        <f t="shared" si="36"/>
        <v>395689.34661655501</v>
      </c>
      <c r="K159" s="8">
        <f t="shared" si="37"/>
        <v>8309476.2789476458</v>
      </c>
    </row>
    <row r="160" spans="1:11" x14ac:dyDescent="0.25">
      <c r="A160" s="4">
        <f t="shared" si="38"/>
        <v>29</v>
      </c>
      <c r="B160" s="4">
        <f t="shared" si="41"/>
        <v>73</v>
      </c>
      <c r="C160" s="5">
        <f t="shared" si="39"/>
        <v>0.05</v>
      </c>
      <c r="D160" s="7">
        <f t="shared" si="42"/>
        <v>228792.76757372601</v>
      </c>
      <c r="E160" s="7">
        <f t="shared" si="40"/>
        <v>0</v>
      </c>
      <c r="F160" s="7" t="str">
        <f t="shared" si="32"/>
        <v/>
      </c>
      <c r="G160" s="7">
        <f t="shared" si="33"/>
        <v>0</v>
      </c>
      <c r="H160" s="7">
        <f t="shared" si="34"/>
        <v>5901.4540718686967</v>
      </c>
      <c r="I160" s="7">
        <f t="shared" si="35"/>
        <v>236824.79304709722</v>
      </c>
      <c r="J160" s="8">
        <f t="shared" si="36"/>
        <v>403632.57429502811</v>
      </c>
      <c r="K160" s="8">
        <f t="shared" si="37"/>
        <v>8476284.0601955764</v>
      </c>
    </row>
    <row r="161" spans="1:11" x14ac:dyDescent="0.25">
      <c r="A161" s="4">
        <f t="shared" si="38"/>
        <v>30</v>
      </c>
      <c r="B161" s="4">
        <f t="shared" si="41"/>
        <v>74</v>
      </c>
      <c r="C161" s="5">
        <f t="shared" si="39"/>
        <v>0.05</v>
      </c>
      <c r="D161" s="7">
        <f t="shared" si="42"/>
        <v>235656.5506009378</v>
      </c>
      <c r="E161" s="7">
        <f t="shared" si="40"/>
        <v>0</v>
      </c>
      <c r="F161" s="7" t="str">
        <f t="shared" si="32"/>
        <v/>
      </c>
      <c r="G161" s="7">
        <f t="shared" si="33"/>
        <v>0</v>
      </c>
      <c r="H161" s="7">
        <f t="shared" si="34"/>
        <v>6314.5558568995066</v>
      </c>
      <c r="I161" s="7">
        <f t="shared" si="35"/>
        <v>243693.47867563542</v>
      </c>
      <c r="J161" s="8">
        <f t="shared" si="36"/>
        <v>411629.52907599695</v>
      </c>
      <c r="K161" s="8">
        <f t="shared" si="37"/>
        <v>8644220.1105959378</v>
      </c>
    </row>
    <row r="162" spans="1:11" x14ac:dyDescent="0.25">
      <c r="A162" s="4">
        <f t="shared" si="38"/>
        <v>31</v>
      </c>
      <c r="B162" s="4">
        <f t="shared" si="41"/>
        <v>75</v>
      </c>
      <c r="C162" s="5">
        <f t="shared" si="39"/>
        <v>0.05</v>
      </c>
      <c r="D162" s="7">
        <f t="shared" si="42"/>
        <v>242726.24711896593</v>
      </c>
      <c r="E162" s="7">
        <f t="shared" si="40"/>
        <v>0</v>
      </c>
      <c r="F162" s="7" t="str">
        <f t="shared" ref="F162:F193" si="43">IF(ISERROR(A164),NA(),"")</f>
        <v/>
      </c>
      <c r="G162" s="7">
        <f t="shared" ref="G162:G193" si="44">IF(ISERROR(A164),NA(),IF(A164&lt;=$E$12,MIN($E$26*E164,$E$27*$E$26*D164),0))</f>
        <v>0</v>
      </c>
      <c r="H162" s="7">
        <f t="shared" ref="H162:H193" si="45">IF(ISERROR(A164),NA(),IF(ISERROR(B164),0,IF(AND(B164&gt;=$K$18,B164&lt;($K$18+$K$21)),$K$19*(1+$K$20)^(B164-$K$18),0)))</f>
        <v>6756.5747668824706</v>
      </c>
      <c r="I162" s="7">
        <f t="shared" ref="I162:I193" si="46">IF(ISERROR(A164),NA(),IF(B164&gt;=$E$9,D164-H162,0))</f>
        <v>250751.70080162847</v>
      </c>
      <c r="J162" s="8">
        <f t="shared" ref="J162:J193" si="47">IF(ISERROR(A164),NA(),FV(C164/$E$44,$E$44,-(E164+G162)/$E$44,-(K161-I162*$E$45),0)-(K161+E164+G162-I162*$E$45))</f>
        <v>419673.42048971541</v>
      </c>
      <c r="K162" s="8">
        <f t="shared" ref="K162:K193" si="48">IF(ISERROR(A164),NA(),K161+E164+G162+J162-I162)</f>
        <v>8813141.8302840255</v>
      </c>
    </row>
    <row r="163" spans="1:11" x14ac:dyDescent="0.25">
      <c r="A163" s="4">
        <f t="shared" si="38"/>
        <v>32</v>
      </c>
      <c r="B163" s="4">
        <f t="shared" si="41"/>
        <v>76</v>
      </c>
      <c r="C163" s="5">
        <f t="shared" si="39"/>
        <v>0.05</v>
      </c>
      <c r="D163" s="7">
        <f t="shared" si="42"/>
        <v>250008.03453253492</v>
      </c>
      <c r="E163" s="7">
        <f t="shared" si="40"/>
        <v>0</v>
      </c>
      <c r="F163" s="7" t="str">
        <f t="shared" si="43"/>
        <v/>
      </c>
      <c r="G163" s="7">
        <f t="shared" si="44"/>
        <v>0</v>
      </c>
      <c r="H163" s="7">
        <f t="shared" si="45"/>
        <v>7229.535000564244</v>
      </c>
      <c r="I163" s="7">
        <f t="shared" si="46"/>
        <v>258003.988835002</v>
      </c>
      <c r="J163" s="8">
        <f t="shared" si="47"/>
        <v>427756.89207245223</v>
      </c>
      <c r="K163" s="8">
        <f t="shared" si="48"/>
        <v>8982894.7335214764</v>
      </c>
    </row>
    <row r="164" spans="1:11" x14ac:dyDescent="0.25">
      <c r="A164" s="4">
        <f t="shared" ref="A164:A195" si="49">IF(OR(K161&lt;0,A163&gt;=($E$9-$E$8)+$E$11),NA(),A163+1)</f>
        <v>33</v>
      </c>
      <c r="B164" s="4">
        <f t="shared" si="41"/>
        <v>77</v>
      </c>
      <c r="C164" s="5">
        <f t="shared" ref="C164:C195" si="50">IF(ISERROR(A164),NA(),IF(B164&lt;$E$9,$E$15,$E$16))</f>
        <v>0.05</v>
      </c>
      <c r="D164" s="7">
        <f t="shared" si="42"/>
        <v>257508.27556851093</v>
      </c>
      <c r="E164" s="7">
        <f t="shared" ref="E164:E195" si="51">IF(ISERROR(A164),NA(),IF(B164=$E$9-1,$K$25)+IF(A164&lt;=$E$12,$E$25*D164,0))</f>
        <v>0</v>
      </c>
      <c r="F164" s="7" t="str">
        <f t="shared" si="43"/>
        <v/>
      </c>
      <c r="G164" s="7">
        <f t="shared" si="44"/>
        <v>0</v>
      </c>
      <c r="H164" s="7">
        <f t="shared" si="45"/>
        <v>7735.6024506037402</v>
      </c>
      <c r="I164" s="7">
        <f t="shared" si="46"/>
        <v>265454.92710002954</v>
      </c>
      <c r="J164" s="8">
        <f t="shared" si="47"/>
        <v>435871.99032107368</v>
      </c>
      <c r="K164" s="8">
        <f t="shared" si="48"/>
        <v>9153311.7967425212</v>
      </c>
    </row>
    <row r="165" spans="1:11" x14ac:dyDescent="0.25">
      <c r="A165" s="4">
        <f t="shared" si="49"/>
        <v>34</v>
      </c>
      <c r="B165" s="4">
        <f t="shared" si="41"/>
        <v>78</v>
      </c>
      <c r="C165" s="5">
        <f t="shared" si="50"/>
        <v>0.05</v>
      </c>
      <c r="D165" s="7">
        <f t="shared" ref="D165:D196" si="52">IF(ISERROR(A165),NA(),IF(B165&gt;=$E$9,$K$9*(1+$E$17)^(B165-$E$9),(1+$E$22)*D164))</f>
        <v>265233.52383556624</v>
      </c>
      <c r="E165" s="7">
        <f t="shared" si="51"/>
        <v>0</v>
      </c>
      <c r="F165" s="7" t="str">
        <f t="shared" si="43"/>
        <v/>
      </c>
      <c r="G165" s="7">
        <f t="shared" si="44"/>
        <v>0</v>
      </c>
      <c r="H165" s="7">
        <f t="shared" si="45"/>
        <v>8277.0946221460035</v>
      </c>
      <c r="I165" s="7">
        <f t="shared" si="46"/>
        <v>273109.15081500629</v>
      </c>
      <c r="J165" s="8">
        <f t="shared" si="47"/>
        <v>444010.13229637593</v>
      </c>
      <c r="K165" s="8">
        <f t="shared" si="48"/>
        <v>9324212.7782238908</v>
      </c>
    </row>
    <row r="166" spans="1:11" x14ac:dyDescent="0.25">
      <c r="A166" s="4">
        <f t="shared" si="49"/>
        <v>35</v>
      </c>
      <c r="B166" s="4">
        <f t="shared" si="41"/>
        <v>79</v>
      </c>
      <c r="C166" s="5">
        <f t="shared" si="50"/>
        <v>0.05</v>
      </c>
      <c r="D166" s="7">
        <f t="shared" si="52"/>
        <v>273190.52955063328</v>
      </c>
      <c r="E166" s="7">
        <f t="shared" si="51"/>
        <v>0</v>
      </c>
      <c r="F166" s="7" t="str">
        <f t="shared" si="43"/>
        <v/>
      </c>
      <c r="G166" s="7">
        <f t="shared" si="44"/>
        <v>0</v>
      </c>
      <c r="H166" s="7">
        <f t="shared" si="45"/>
        <v>8856.4912456962229</v>
      </c>
      <c r="I166" s="7">
        <f t="shared" si="46"/>
        <v>280971.34155457059</v>
      </c>
      <c r="J166" s="8">
        <f t="shared" si="47"/>
        <v>452162.07183346711</v>
      </c>
      <c r="K166" s="8">
        <f t="shared" si="48"/>
        <v>9495403.508502787</v>
      </c>
    </row>
    <row r="167" spans="1:11" x14ac:dyDescent="0.25">
      <c r="A167" s="4">
        <f t="shared" si="49"/>
        <v>36</v>
      </c>
      <c r="B167" s="4">
        <f t="shared" si="41"/>
        <v>80</v>
      </c>
      <c r="C167" s="5">
        <f t="shared" si="50"/>
        <v>0.05</v>
      </c>
      <c r="D167" s="7">
        <f t="shared" si="52"/>
        <v>281386.24543715228</v>
      </c>
      <c r="E167" s="7">
        <f t="shared" si="51"/>
        <v>0</v>
      </c>
      <c r="F167" s="7" t="str">
        <f t="shared" si="43"/>
        <v/>
      </c>
      <c r="G167" s="7">
        <f t="shared" si="44"/>
        <v>0</v>
      </c>
      <c r="H167" s="7">
        <f t="shared" si="45"/>
        <v>9476.4456328949582</v>
      </c>
      <c r="I167" s="7">
        <f t="shared" si="46"/>
        <v>289046.22215137986</v>
      </c>
      <c r="J167" s="8">
        <f t="shared" si="47"/>
        <v>460317.86431756988</v>
      </c>
      <c r="K167" s="8">
        <f t="shared" si="48"/>
        <v>9666675.1506689768</v>
      </c>
    </row>
    <row r="168" spans="1:11" x14ac:dyDescent="0.25">
      <c r="A168" s="4">
        <f t="shared" si="49"/>
        <v>37</v>
      </c>
      <c r="B168" s="4">
        <f t="shared" si="41"/>
        <v>81</v>
      </c>
      <c r="C168" s="5">
        <f t="shared" si="50"/>
        <v>0.05</v>
      </c>
      <c r="D168" s="7">
        <f t="shared" si="52"/>
        <v>289827.8328002668</v>
      </c>
      <c r="E168" s="7">
        <f t="shared" si="51"/>
        <v>0</v>
      </c>
      <c r="F168" s="7" t="str">
        <f t="shared" si="43"/>
        <v/>
      </c>
      <c r="G168" s="7">
        <f t="shared" si="44"/>
        <v>0</v>
      </c>
      <c r="H168" s="7">
        <f t="shared" si="45"/>
        <v>10139.796827197606</v>
      </c>
      <c r="I168" s="7">
        <f t="shared" si="46"/>
        <v>297338.55099060544</v>
      </c>
      <c r="J168" s="8">
        <f t="shared" si="47"/>
        <v>468466.82998391986</v>
      </c>
      <c r="K168" s="8">
        <f t="shared" si="48"/>
        <v>9837803.429662291</v>
      </c>
    </row>
    <row r="169" spans="1:11" x14ac:dyDescent="0.25">
      <c r="A169" s="4">
        <f t="shared" si="49"/>
        <v>38</v>
      </c>
      <c r="B169" s="4">
        <f t="shared" si="41"/>
        <v>82</v>
      </c>
      <c r="C169" s="5">
        <f t="shared" si="50"/>
        <v>0.05</v>
      </c>
      <c r="D169" s="7">
        <f t="shared" si="52"/>
        <v>298522.66778427479</v>
      </c>
      <c r="E169" s="7">
        <f t="shared" si="51"/>
        <v>0</v>
      </c>
      <c r="F169" s="7" t="str">
        <f t="shared" si="43"/>
        <v/>
      </c>
      <c r="G169" s="7">
        <f t="shared" si="44"/>
        <v>0</v>
      </c>
      <c r="H169" s="7">
        <f t="shared" si="45"/>
        <v>10849.582605101439</v>
      </c>
      <c r="I169" s="7">
        <f t="shared" si="46"/>
        <v>305853.11564723565</v>
      </c>
      <c r="J169" s="8">
        <f t="shared" si="47"/>
        <v>476597.51570075378</v>
      </c>
      <c r="K169" s="8">
        <f t="shared" si="48"/>
        <v>10008547.829715809</v>
      </c>
    </row>
    <row r="170" spans="1:11" x14ac:dyDescent="0.25">
      <c r="A170" s="4">
        <f t="shared" si="49"/>
        <v>39</v>
      </c>
      <c r="B170" s="4">
        <f t="shared" si="41"/>
        <v>83</v>
      </c>
      <c r="C170" s="5">
        <f t="shared" si="50"/>
        <v>0.05</v>
      </c>
      <c r="D170" s="7">
        <f t="shared" si="52"/>
        <v>307478.34781780303</v>
      </c>
      <c r="E170" s="7">
        <f t="shared" si="51"/>
        <v>0</v>
      </c>
      <c r="F170" s="7" t="str">
        <f t="shared" si="43"/>
        <v/>
      </c>
      <c r="G170" s="7">
        <f t="shared" si="44"/>
        <v>0</v>
      </c>
      <c r="H170" s="7">
        <f t="shared" si="45"/>
        <v>11609.053387458538</v>
      </c>
      <c r="I170" s="7">
        <f t="shared" si="46"/>
        <v>314594.72581244865</v>
      </c>
      <c r="J170" s="8">
        <f t="shared" si="47"/>
        <v>484697.65519516915</v>
      </c>
      <c r="K170" s="8">
        <f t="shared" si="48"/>
        <v>10178650.75909853</v>
      </c>
    </row>
    <row r="171" spans="1:11" x14ac:dyDescent="0.25">
      <c r="A171" s="4">
        <f t="shared" si="49"/>
        <v>40</v>
      </c>
      <c r="B171" s="4">
        <f t="shared" si="41"/>
        <v>84</v>
      </c>
      <c r="C171" s="5">
        <f t="shared" si="50"/>
        <v>0.05</v>
      </c>
      <c r="D171" s="7">
        <f t="shared" si="52"/>
        <v>316702.69825233711</v>
      </c>
      <c r="E171" s="7">
        <f t="shared" si="51"/>
        <v>0</v>
      </c>
      <c r="F171" s="7" t="str">
        <f t="shared" si="43"/>
        <v/>
      </c>
      <c r="G171" s="7">
        <f t="shared" si="44"/>
        <v>0</v>
      </c>
      <c r="H171" s="7">
        <f t="shared" si="45"/>
        <v>12421.687124580636</v>
      </c>
      <c r="I171" s="7">
        <f t="shared" si="46"/>
        <v>323568.20545132383</v>
      </c>
      <c r="J171" s="8">
        <f t="shared" si="47"/>
        <v>492754.12768235989</v>
      </c>
      <c r="K171" s="8">
        <f t="shared" si="48"/>
        <v>10347836.681329565</v>
      </c>
    </row>
    <row r="172" spans="1:11" x14ac:dyDescent="0.25">
      <c r="A172" s="4">
        <f t="shared" si="49"/>
        <v>41</v>
      </c>
      <c r="B172" s="4">
        <f t="shared" si="41"/>
        <v>85</v>
      </c>
      <c r="C172" s="5">
        <f t="shared" si="50"/>
        <v>0.05</v>
      </c>
      <c r="D172" s="7">
        <f t="shared" si="52"/>
        <v>326203.77919990721</v>
      </c>
      <c r="E172" s="7">
        <f t="shared" si="51"/>
        <v>0</v>
      </c>
      <c r="F172" s="7" t="str">
        <f t="shared" si="43"/>
        <v/>
      </c>
      <c r="G172" s="7">
        <f t="shared" si="44"/>
        <v>0</v>
      </c>
      <c r="H172" s="7">
        <f t="shared" si="45"/>
        <v>13291.205223301282</v>
      </c>
      <c r="I172" s="7">
        <f t="shared" si="46"/>
        <v>332778.38412988029</v>
      </c>
      <c r="J172" s="8">
        <f t="shared" si="47"/>
        <v>500752.91485998407</v>
      </c>
      <c r="K172" s="8">
        <f t="shared" si="48"/>
        <v>10515811.212059669</v>
      </c>
    </row>
    <row r="173" spans="1:11" x14ac:dyDescent="0.25">
      <c r="A173" s="4">
        <f t="shared" si="49"/>
        <v>42</v>
      </c>
      <c r="B173" s="4">
        <f t="shared" si="41"/>
        <v>86</v>
      </c>
      <c r="C173" s="5">
        <f t="shared" si="50"/>
        <v>0.05</v>
      </c>
      <c r="D173" s="7">
        <f t="shared" si="52"/>
        <v>335989.89257590444</v>
      </c>
      <c r="E173" s="7">
        <f t="shared" si="51"/>
        <v>0</v>
      </c>
      <c r="F173" s="7" t="str">
        <f t="shared" si="43"/>
        <v/>
      </c>
      <c r="G173" s="7">
        <f t="shared" si="44"/>
        <v>0</v>
      </c>
      <c r="H173" s="7">
        <f t="shared" si="45"/>
        <v>14221.589588932371</v>
      </c>
      <c r="I173" s="7">
        <f t="shared" si="46"/>
        <v>342230.08744484471</v>
      </c>
      <c r="J173" s="8">
        <f t="shared" si="47"/>
        <v>508679.05623074248</v>
      </c>
      <c r="K173" s="8">
        <f t="shared" si="48"/>
        <v>10682260.180845566</v>
      </c>
    </row>
    <row r="174" spans="1:11" x14ac:dyDescent="0.25">
      <c r="A174" s="4">
        <f t="shared" si="49"/>
        <v>43</v>
      </c>
      <c r="B174" s="4">
        <f t="shared" si="41"/>
        <v>87</v>
      </c>
      <c r="C174" s="5">
        <f t="shared" si="50"/>
        <v>0.05</v>
      </c>
      <c r="D174" s="7">
        <f t="shared" si="52"/>
        <v>346069.5893531816</v>
      </c>
      <c r="E174" s="7">
        <f t="shared" si="51"/>
        <v>0</v>
      </c>
      <c r="F174" s="7" t="str">
        <f t="shared" si="43"/>
        <v/>
      </c>
      <c r="G174" s="7">
        <f t="shared" si="44"/>
        <v>0</v>
      </c>
      <c r="H174" s="7">
        <f t="shared" si="45"/>
        <v>15217.100860157638</v>
      </c>
      <c r="I174" s="7">
        <f t="shared" si="46"/>
        <v>351928.12648463267</v>
      </c>
      <c r="J174" s="8">
        <f t="shared" si="47"/>
        <v>516516.6027180478</v>
      </c>
      <c r="K174" s="8">
        <f t="shared" si="48"/>
        <v>10846848.657078981</v>
      </c>
    </row>
    <row r="175" spans="1:11" x14ac:dyDescent="0.25">
      <c r="A175" s="4">
        <f t="shared" si="49"/>
        <v>44</v>
      </c>
      <c r="B175" s="4">
        <f t="shared" si="41"/>
        <v>88</v>
      </c>
      <c r="C175" s="5">
        <f t="shared" si="50"/>
        <v>0.05</v>
      </c>
      <c r="D175" s="7">
        <f t="shared" si="52"/>
        <v>356451.67703377706</v>
      </c>
      <c r="E175" s="7">
        <f t="shared" si="51"/>
        <v>0</v>
      </c>
      <c r="F175" s="7" t="e">
        <f t="shared" si="43"/>
        <v>#N/A</v>
      </c>
      <c r="G175" s="7" t="e">
        <f t="shared" si="44"/>
        <v>#N/A</v>
      </c>
      <c r="H175" s="7" t="e">
        <f t="shared" si="45"/>
        <v>#N/A</v>
      </c>
      <c r="I175" s="7" t="e">
        <f t="shared" si="46"/>
        <v>#N/A</v>
      </c>
      <c r="J175" s="8" t="e">
        <f t="shared" si="47"/>
        <v>#N/A</v>
      </c>
      <c r="K175" s="8" t="e">
        <f t="shared" si="48"/>
        <v>#N/A</v>
      </c>
    </row>
    <row r="176" spans="1:11" x14ac:dyDescent="0.25">
      <c r="A176" s="4">
        <f t="shared" si="49"/>
        <v>45</v>
      </c>
      <c r="B176" s="4">
        <f t="shared" si="41"/>
        <v>89</v>
      </c>
      <c r="C176" s="5">
        <f t="shared" si="50"/>
        <v>0.05</v>
      </c>
      <c r="D176" s="7">
        <f t="shared" si="52"/>
        <v>367145.2273447903</v>
      </c>
      <c r="E176" s="7">
        <f t="shared" si="51"/>
        <v>0</v>
      </c>
      <c r="F176" s="7" t="e">
        <f t="shared" si="43"/>
        <v>#N/A</v>
      </c>
      <c r="G176" s="7" t="e">
        <f t="shared" si="44"/>
        <v>#N/A</v>
      </c>
      <c r="H176" s="7" t="e">
        <f t="shared" si="45"/>
        <v>#N/A</v>
      </c>
      <c r="I176" s="7" t="e">
        <f t="shared" si="46"/>
        <v>#N/A</v>
      </c>
      <c r="J176" s="8" t="e">
        <f t="shared" si="47"/>
        <v>#N/A</v>
      </c>
      <c r="K176" s="8" t="e">
        <f t="shared" si="48"/>
        <v>#N/A</v>
      </c>
    </row>
    <row r="177" spans="1:11" x14ac:dyDescent="0.25">
      <c r="A177" s="4" t="e">
        <f t="shared" si="49"/>
        <v>#N/A</v>
      </c>
      <c r="B177" s="4" t="e">
        <f t="shared" si="41"/>
        <v>#N/A</v>
      </c>
      <c r="C177" s="5" t="e">
        <f t="shared" si="50"/>
        <v>#N/A</v>
      </c>
      <c r="D177" s="7" t="e">
        <f t="shared" si="52"/>
        <v>#N/A</v>
      </c>
      <c r="E177" s="7" t="e">
        <f t="shared" si="51"/>
        <v>#N/A</v>
      </c>
      <c r="F177" s="7" t="e">
        <f t="shared" si="43"/>
        <v>#N/A</v>
      </c>
      <c r="G177" s="7" t="e">
        <f t="shared" si="44"/>
        <v>#N/A</v>
      </c>
      <c r="H177" s="7" t="e">
        <f t="shared" si="45"/>
        <v>#N/A</v>
      </c>
      <c r="I177" s="7" t="e">
        <f t="shared" si="46"/>
        <v>#N/A</v>
      </c>
      <c r="J177" s="8" t="e">
        <f t="shared" si="47"/>
        <v>#N/A</v>
      </c>
      <c r="K177" s="8" t="e">
        <f t="shared" si="48"/>
        <v>#N/A</v>
      </c>
    </row>
    <row r="178" spans="1:11" x14ac:dyDescent="0.25">
      <c r="A178" s="4" t="e">
        <f t="shared" si="49"/>
        <v>#N/A</v>
      </c>
      <c r="B178" s="4" t="e">
        <f t="shared" si="41"/>
        <v>#N/A</v>
      </c>
      <c r="C178" s="5" t="e">
        <f t="shared" si="50"/>
        <v>#N/A</v>
      </c>
      <c r="D178" s="7" t="e">
        <f t="shared" si="52"/>
        <v>#N/A</v>
      </c>
      <c r="E178" s="7" t="e">
        <f t="shared" si="51"/>
        <v>#N/A</v>
      </c>
      <c r="F178" s="7" t="e">
        <f t="shared" si="43"/>
        <v>#N/A</v>
      </c>
      <c r="G178" s="7" t="e">
        <f t="shared" si="44"/>
        <v>#N/A</v>
      </c>
      <c r="H178" s="7" t="e">
        <f t="shared" si="45"/>
        <v>#N/A</v>
      </c>
      <c r="I178" s="7" t="e">
        <f t="shared" si="46"/>
        <v>#N/A</v>
      </c>
      <c r="J178" s="8" t="e">
        <f t="shared" si="47"/>
        <v>#N/A</v>
      </c>
      <c r="K178" s="8" t="e">
        <f t="shared" si="48"/>
        <v>#N/A</v>
      </c>
    </row>
    <row r="179" spans="1:11" x14ac:dyDescent="0.25">
      <c r="A179" s="4" t="e">
        <f t="shared" si="49"/>
        <v>#N/A</v>
      </c>
      <c r="B179" s="4" t="e">
        <f t="shared" si="41"/>
        <v>#N/A</v>
      </c>
      <c r="C179" s="5" t="e">
        <f t="shared" si="50"/>
        <v>#N/A</v>
      </c>
      <c r="D179" s="7" t="e">
        <f t="shared" si="52"/>
        <v>#N/A</v>
      </c>
      <c r="E179" s="7" t="e">
        <f t="shared" si="51"/>
        <v>#N/A</v>
      </c>
      <c r="F179" s="7" t="e">
        <f t="shared" si="43"/>
        <v>#N/A</v>
      </c>
      <c r="G179" s="7" t="e">
        <f t="shared" si="44"/>
        <v>#N/A</v>
      </c>
      <c r="H179" s="7" t="e">
        <f t="shared" si="45"/>
        <v>#N/A</v>
      </c>
      <c r="I179" s="7" t="e">
        <f t="shared" si="46"/>
        <v>#N/A</v>
      </c>
      <c r="J179" s="8" t="e">
        <f t="shared" si="47"/>
        <v>#N/A</v>
      </c>
      <c r="K179" s="8" t="e">
        <f t="shared" si="48"/>
        <v>#N/A</v>
      </c>
    </row>
    <row r="180" spans="1:11" x14ac:dyDescent="0.25">
      <c r="A180" s="4" t="e">
        <f t="shared" si="49"/>
        <v>#N/A</v>
      </c>
      <c r="B180" s="4" t="e">
        <f t="shared" si="41"/>
        <v>#N/A</v>
      </c>
      <c r="C180" s="5" t="e">
        <f t="shared" si="50"/>
        <v>#N/A</v>
      </c>
      <c r="D180" s="7" t="e">
        <f t="shared" si="52"/>
        <v>#N/A</v>
      </c>
      <c r="E180" s="7" t="e">
        <f t="shared" si="51"/>
        <v>#N/A</v>
      </c>
      <c r="F180" s="7" t="e">
        <f t="shared" si="43"/>
        <v>#N/A</v>
      </c>
      <c r="G180" s="7" t="e">
        <f t="shared" si="44"/>
        <v>#N/A</v>
      </c>
      <c r="H180" s="7" t="e">
        <f t="shared" si="45"/>
        <v>#N/A</v>
      </c>
      <c r="I180" s="7" t="e">
        <f t="shared" si="46"/>
        <v>#N/A</v>
      </c>
      <c r="J180" s="8" t="e">
        <f t="shared" si="47"/>
        <v>#N/A</v>
      </c>
      <c r="K180" s="8" t="e">
        <f t="shared" si="48"/>
        <v>#N/A</v>
      </c>
    </row>
    <row r="181" spans="1:11" x14ac:dyDescent="0.25">
      <c r="A181" s="4" t="e">
        <f t="shared" si="49"/>
        <v>#N/A</v>
      </c>
      <c r="B181" s="4" t="e">
        <f t="shared" si="41"/>
        <v>#N/A</v>
      </c>
      <c r="C181" s="5" t="e">
        <f t="shared" si="50"/>
        <v>#N/A</v>
      </c>
      <c r="D181" s="7" t="e">
        <f t="shared" si="52"/>
        <v>#N/A</v>
      </c>
      <c r="E181" s="7" t="e">
        <f t="shared" si="51"/>
        <v>#N/A</v>
      </c>
      <c r="F181" s="7" t="e">
        <f t="shared" si="43"/>
        <v>#N/A</v>
      </c>
      <c r="G181" s="7" t="e">
        <f t="shared" si="44"/>
        <v>#N/A</v>
      </c>
      <c r="H181" s="7" t="e">
        <f t="shared" si="45"/>
        <v>#N/A</v>
      </c>
      <c r="I181" s="7" t="e">
        <f t="shared" si="46"/>
        <v>#N/A</v>
      </c>
      <c r="J181" s="8" t="e">
        <f t="shared" si="47"/>
        <v>#N/A</v>
      </c>
      <c r="K181" s="8" t="e">
        <f t="shared" si="48"/>
        <v>#N/A</v>
      </c>
    </row>
    <row r="182" spans="1:11" x14ac:dyDescent="0.25">
      <c r="A182" s="4" t="e">
        <f t="shared" si="49"/>
        <v>#N/A</v>
      </c>
      <c r="B182" s="4" t="e">
        <f t="shared" si="41"/>
        <v>#N/A</v>
      </c>
      <c r="C182" s="5" t="e">
        <f t="shared" si="50"/>
        <v>#N/A</v>
      </c>
      <c r="D182" s="7" t="e">
        <f t="shared" si="52"/>
        <v>#N/A</v>
      </c>
      <c r="E182" s="7" t="e">
        <f t="shared" si="51"/>
        <v>#N/A</v>
      </c>
      <c r="F182" s="7" t="e">
        <f t="shared" si="43"/>
        <v>#N/A</v>
      </c>
      <c r="G182" s="7" t="e">
        <f t="shared" si="44"/>
        <v>#N/A</v>
      </c>
      <c r="H182" s="7" t="e">
        <f t="shared" si="45"/>
        <v>#N/A</v>
      </c>
      <c r="I182" s="7" t="e">
        <f t="shared" si="46"/>
        <v>#N/A</v>
      </c>
      <c r="J182" s="8" t="e">
        <f t="shared" si="47"/>
        <v>#N/A</v>
      </c>
      <c r="K182" s="8" t="e">
        <f t="shared" si="48"/>
        <v>#N/A</v>
      </c>
    </row>
    <row r="183" spans="1:11" x14ac:dyDescent="0.25">
      <c r="A183" s="4" t="e">
        <f t="shared" si="49"/>
        <v>#N/A</v>
      </c>
      <c r="B183" s="4" t="e">
        <f t="shared" si="41"/>
        <v>#N/A</v>
      </c>
      <c r="C183" s="5" t="e">
        <f t="shared" si="50"/>
        <v>#N/A</v>
      </c>
      <c r="D183" s="7" t="e">
        <f t="shared" si="52"/>
        <v>#N/A</v>
      </c>
      <c r="E183" s="7" t="e">
        <f t="shared" si="51"/>
        <v>#N/A</v>
      </c>
      <c r="F183" s="7" t="e">
        <f t="shared" si="43"/>
        <v>#N/A</v>
      </c>
      <c r="G183" s="7" t="e">
        <f t="shared" si="44"/>
        <v>#N/A</v>
      </c>
      <c r="H183" s="7" t="e">
        <f t="shared" si="45"/>
        <v>#N/A</v>
      </c>
      <c r="I183" s="7" t="e">
        <f t="shared" si="46"/>
        <v>#N/A</v>
      </c>
      <c r="J183" s="8" t="e">
        <f t="shared" si="47"/>
        <v>#N/A</v>
      </c>
      <c r="K183" s="8" t="e">
        <f t="shared" si="48"/>
        <v>#N/A</v>
      </c>
    </row>
    <row r="184" spans="1:11" x14ac:dyDescent="0.25">
      <c r="A184" s="4" t="e">
        <f t="shared" si="49"/>
        <v>#N/A</v>
      </c>
      <c r="B184" s="4" t="e">
        <f t="shared" si="41"/>
        <v>#N/A</v>
      </c>
      <c r="C184" s="5" t="e">
        <f t="shared" si="50"/>
        <v>#N/A</v>
      </c>
      <c r="D184" s="7" t="e">
        <f t="shared" si="52"/>
        <v>#N/A</v>
      </c>
      <c r="E184" s="7" t="e">
        <f t="shared" si="51"/>
        <v>#N/A</v>
      </c>
      <c r="F184" s="7" t="e">
        <f t="shared" si="43"/>
        <v>#N/A</v>
      </c>
      <c r="G184" s="7" t="e">
        <f t="shared" si="44"/>
        <v>#N/A</v>
      </c>
      <c r="H184" s="7" t="e">
        <f t="shared" si="45"/>
        <v>#N/A</v>
      </c>
      <c r="I184" s="7" t="e">
        <f t="shared" si="46"/>
        <v>#N/A</v>
      </c>
      <c r="J184" s="8" t="e">
        <f t="shared" si="47"/>
        <v>#N/A</v>
      </c>
      <c r="K184" s="8" t="e">
        <f t="shared" si="48"/>
        <v>#N/A</v>
      </c>
    </row>
    <row r="185" spans="1:11" x14ac:dyDescent="0.25">
      <c r="A185" s="4" t="e">
        <f t="shared" si="49"/>
        <v>#N/A</v>
      </c>
      <c r="B185" s="4" t="e">
        <f t="shared" si="41"/>
        <v>#N/A</v>
      </c>
      <c r="C185" s="5" t="e">
        <f t="shared" si="50"/>
        <v>#N/A</v>
      </c>
      <c r="D185" s="7" t="e">
        <f t="shared" si="52"/>
        <v>#N/A</v>
      </c>
      <c r="E185" s="7" t="e">
        <f t="shared" si="51"/>
        <v>#N/A</v>
      </c>
      <c r="F185" s="7" t="e">
        <f t="shared" si="43"/>
        <v>#N/A</v>
      </c>
      <c r="G185" s="7" t="e">
        <f t="shared" si="44"/>
        <v>#N/A</v>
      </c>
      <c r="H185" s="7" t="e">
        <f t="shared" si="45"/>
        <v>#N/A</v>
      </c>
      <c r="I185" s="7" t="e">
        <f t="shared" si="46"/>
        <v>#N/A</v>
      </c>
      <c r="J185" s="8" t="e">
        <f t="shared" si="47"/>
        <v>#N/A</v>
      </c>
      <c r="K185" s="8" t="e">
        <f t="shared" si="48"/>
        <v>#N/A</v>
      </c>
    </row>
    <row r="186" spans="1:11" x14ac:dyDescent="0.25">
      <c r="A186" s="4" t="e">
        <f t="shared" si="49"/>
        <v>#N/A</v>
      </c>
      <c r="B186" s="4" t="e">
        <f t="shared" si="41"/>
        <v>#N/A</v>
      </c>
      <c r="C186" s="5" t="e">
        <f t="shared" si="50"/>
        <v>#N/A</v>
      </c>
      <c r="D186" s="7" t="e">
        <f t="shared" si="52"/>
        <v>#N/A</v>
      </c>
      <c r="E186" s="7" t="e">
        <f t="shared" si="51"/>
        <v>#N/A</v>
      </c>
      <c r="F186" s="7" t="e">
        <f t="shared" si="43"/>
        <v>#N/A</v>
      </c>
      <c r="G186" s="7" t="e">
        <f t="shared" si="44"/>
        <v>#N/A</v>
      </c>
      <c r="H186" s="7" t="e">
        <f t="shared" si="45"/>
        <v>#N/A</v>
      </c>
      <c r="I186" s="7" t="e">
        <f t="shared" si="46"/>
        <v>#N/A</v>
      </c>
      <c r="J186" s="8" t="e">
        <f t="shared" si="47"/>
        <v>#N/A</v>
      </c>
      <c r="K186" s="8" t="e">
        <f t="shared" si="48"/>
        <v>#N/A</v>
      </c>
    </row>
    <row r="187" spans="1:11" x14ac:dyDescent="0.25">
      <c r="A187" s="4" t="e">
        <f t="shared" si="49"/>
        <v>#N/A</v>
      </c>
      <c r="B187" s="4" t="e">
        <f t="shared" si="41"/>
        <v>#N/A</v>
      </c>
      <c r="C187" s="5" t="e">
        <f t="shared" si="50"/>
        <v>#N/A</v>
      </c>
      <c r="D187" s="7" t="e">
        <f t="shared" si="52"/>
        <v>#N/A</v>
      </c>
      <c r="E187" s="7" t="e">
        <f t="shared" si="51"/>
        <v>#N/A</v>
      </c>
      <c r="F187" s="7" t="e">
        <f t="shared" si="43"/>
        <v>#N/A</v>
      </c>
      <c r="G187" s="7" t="e">
        <f t="shared" si="44"/>
        <v>#N/A</v>
      </c>
      <c r="H187" s="7" t="e">
        <f t="shared" si="45"/>
        <v>#N/A</v>
      </c>
      <c r="I187" s="7" t="e">
        <f t="shared" si="46"/>
        <v>#N/A</v>
      </c>
      <c r="J187" s="8" t="e">
        <f t="shared" si="47"/>
        <v>#N/A</v>
      </c>
      <c r="K187" s="8" t="e">
        <f t="shared" si="48"/>
        <v>#N/A</v>
      </c>
    </row>
    <row r="188" spans="1:11" x14ac:dyDescent="0.25">
      <c r="A188" s="4" t="e">
        <f t="shared" si="49"/>
        <v>#N/A</v>
      </c>
      <c r="B188" s="4" t="e">
        <f t="shared" si="41"/>
        <v>#N/A</v>
      </c>
      <c r="C188" s="5" t="e">
        <f t="shared" si="50"/>
        <v>#N/A</v>
      </c>
      <c r="D188" s="7" t="e">
        <f t="shared" si="52"/>
        <v>#N/A</v>
      </c>
      <c r="E188" s="7" t="e">
        <f t="shared" si="51"/>
        <v>#N/A</v>
      </c>
      <c r="F188" s="7" t="e">
        <f t="shared" si="43"/>
        <v>#N/A</v>
      </c>
      <c r="G188" s="7" t="e">
        <f t="shared" si="44"/>
        <v>#N/A</v>
      </c>
      <c r="H188" s="7" t="e">
        <f t="shared" si="45"/>
        <v>#N/A</v>
      </c>
      <c r="I188" s="7" t="e">
        <f t="shared" si="46"/>
        <v>#N/A</v>
      </c>
      <c r="J188" s="8" t="e">
        <f t="shared" si="47"/>
        <v>#N/A</v>
      </c>
      <c r="K188" s="8" t="e">
        <f t="shared" si="48"/>
        <v>#N/A</v>
      </c>
    </row>
    <row r="189" spans="1:11" x14ac:dyDescent="0.25">
      <c r="A189" s="4" t="e">
        <f t="shared" si="49"/>
        <v>#N/A</v>
      </c>
      <c r="B189" s="4" t="e">
        <f t="shared" si="41"/>
        <v>#N/A</v>
      </c>
      <c r="C189" s="5" t="e">
        <f t="shared" si="50"/>
        <v>#N/A</v>
      </c>
      <c r="D189" s="7" t="e">
        <f t="shared" si="52"/>
        <v>#N/A</v>
      </c>
      <c r="E189" s="7" t="e">
        <f t="shared" si="51"/>
        <v>#N/A</v>
      </c>
      <c r="F189" s="7" t="e">
        <f t="shared" si="43"/>
        <v>#N/A</v>
      </c>
      <c r="G189" s="7" t="e">
        <f t="shared" si="44"/>
        <v>#N/A</v>
      </c>
      <c r="H189" s="7" t="e">
        <f t="shared" si="45"/>
        <v>#N/A</v>
      </c>
      <c r="I189" s="7" t="e">
        <f t="shared" si="46"/>
        <v>#N/A</v>
      </c>
      <c r="J189" s="8" t="e">
        <f t="shared" si="47"/>
        <v>#N/A</v>
      </c>
      <c r="K189" s="8" t="e">
        <f t="shared" si="48"/>
        <v>#N/A</v>
      </c>
    </row>
    <row r="190" spans="1:11" x14ac:dyDescent="0.25">
      <c r="A190" s="4" t="e">
        <f t="shared" si="49"/>
        <v>#N/A</v>
      </c>
      <c r="B190" s="4" t="e">
        <f t="shared" si="41"/>
        <v>#N/A</v>
      </c>
      <c r="C190" s="5" t="e">
        <f t="shared" si="50"/>
        <v>#N/A</v>
      </c>
      <c r="D190" s="7" t="e">
        <f t="shared" si="52"/>
        <v>#N/A</v>
      </c>
      <c r="E190" s="7" t="e">
        <f t="shared" si="51"/>
        <v>#N/A</v>
      </c>
      <c r="F190" s="7" t="e">
        <f t="shared" si="43"/>
        <v>#N/A</v>
      </c>
      <c r="G190" s="7" t="e">
        <f t="shared" si="44"/>
        <v>#N/A</v>
      </c>
      <c r="H190" s="7" t="e">
        <f t="shared" si="45"/>
        <v>#N/A</v>
      </c>
      <c r="I190" s="7" t="e">
        <f t="shared" si="46"/>
        <v>#N/A</v>
      </c>
      <c r="J190" s="8" t="e">
        <f t="shared" si="47"/>
        <v>#N/A</v>
      </c>
      <c r="K190" s="8" t="e">
        <f t="shared" si="48"/>
        <v>#N/A</v>
      </c>
    </row>
    <row r="191" spans="1:11" x14ac:dyDescent="0.25">
      <c r="A191" s="4" t="e">
        <f t="shared" si="49"/>
        <v>#N/A</v>
      </c>
      <c r="B191" s="4" t="e">
        <f t="shared" si="41"/>
        <v>#N/A</v>
      </c>
      <c r="C191" s="5" t="e">
        <f t="shared" si="50"/>
        <v>#N/A</v>
      </c>
      <c r="D191" s="7" t="e">
        <f t="shared" si="52"/>
        <v>#N/A</v>
      </c>
      <c r="E191" s="7" t="e">
        <f t="shared" si="51"/>
        <v>#N/A</v>
      </c>
      <c r="F191" s="7" t="e">
        <f t="shared" si="43"/>
        <v>#N/A</v>
      </c>
      <c r="G191" s="7" t="e">
        <f t="shared" si="44"/>
        <v>#N/A</v>
      </c>
      <c r="H191" s="7" t="e">
        <f t="shared" si="45"/>
        <v>#N/A</v>
      </c>
      <c r="I191" s="7" t="e">
        <f t="shared" si="46"/>
        <v>#N/A</v>
      </c>
      <c r="J191" s="8" t="e">
        <f t="shared" si="47"/>
        <v>#N/A</v>
      </c>
      <c r="K191" s="8" t="e">
        <f t="shared" si="48"/>
        <v>#N/A</v>
      </c>
    </row>
    <row r="192" spans="1:11" x14ac:dyDescent="0.25">
      <c r="A192" s="4" t="e">
        <f t="shared" si="49"/>
        <v>#N/A</v>
      </c>
      <c r="B192" s="4" t="e">
        <f t="shared" si="41"/>
        <v>#N/A</v>
      </c>
      <c r="C192" s="5" t="e">
        <f t="shared" si="50"/>
        <v>#N/A</v>
      </c>
      <c r="D192" s="7" t="e">
        <f t="shared" si="52"/>
        <v>#N/A</v>
      </c>
      <c r="E192" s="7" t="e">
        <f t="shared" si="51"/>
        <v>#N/A</v>
      </c>
      <c r="F192" s="7" t="e">
        <f t="shared" si="43"/>
        <v>#N/A</v>
      </c>
      <c r="G192" s="7" t="e">
        <f t="shared" si="44"/>
        <v>#N/A</v>
      </c>
      <c r="H192" s="7" t="e">
        <f t="shared" si="45"/>
        <v>#N/A</v>
      </c>
      <c r="I192" s="7" t="e">
        <f t="shared" si="46"/>
        <v>#N/A</v>
      </c>
      <c r="J192" s="8" t="e">
        <f t="shared" si="47"/>
        <v>#N/A</v>
      </c>
      <c r="K192" s="8" t="e">
        <f t="shared" si="48"/>
        <v>#N/A</v>
      </c>
    </row>
    <row r="193" spans="1:11" x14ac:dyDescent="0.25">
      <c r="A193" s="4" t="e">
        <f t="shared" si="49"/>
        <v>#N/A</v>
      </c>
      <c r="B193" s="4" t="e">
        <f t="shared" si="41"/>
        <v>#N/A</v>
      </c>
      <c r="C193" s="5" t="e">
        <f t="shared" si="50"/>
        <v>#N/A</v>
      </c>
      <c r="D193" s="7" t="e">
        <f t="shared" si="52"/>
        <v>#N/A</v>
      </c>
      <c r="E193" s="7" t="e">
        <f t="shared" si="51"/>
        <v>#N/A</v>
      </c>
      <c r="F193" s="7" t="e">
        <f t="shared" si="43"/>
        <v>#N/A</v>
      </c>
      <c r="G193" s="7" t="e">
        <f t="shared" si="44"/>
        <v>#N/A</v>
      </c>
      <c r="H193" s="7" t="e">
        <f t="shared" si="45"/>
        <v>#N/A</v>
      </c>
      <c r="I193" s="7" t="e">
        <f t="shared" si="46"/>
        <v>#N/A</v>
      </c>
      <c r="J193" s="8" t="e">
        <f t="shared" si="47"/>
        <v>#N/A</v>
      </c>
      <c r="K193" s="8" t="e">
        <f t="shared" si="48"/>
        <v>#N/A</v>
      </c>
    </row>
    <row r="194" spans="1:11" x14ac:dyDescent="0.25">
      <c r="A194" s="4" t="e">
        <f t="shared" si="49"/>
        <v>#N/A</v>
      </c>
      <c r="B194" s="4" t="e">
        <f t="shared" si="41"/>
        <v>#N/A</v>
      </c>
      <c r="C194" s="5" t="e">
        <f t="shared" si="50"/>
        <v>#N/A</v>
      </c>
      <c r="D194" s="7" t="e">
        <f t="shared" si="52"/>
        <v>#N/A</v>
      </c>
      <c r="E194" s="7" t="e">
        <f t="shared" si="51"/>
        <v>#N/A</v>
      </c>
      <c r="F194" s="7" t="e">
        <f t="shared" ref="F194:F204" si="53">IF(ISERROR(A196),NA(),"")</f>
        <v>#N/A</v>
      </c>
      <c r="G194" s="7" t="e">
        <f t="shared" ref="G194:G204" si="54">IF(ISERROR(A196),NA(),IF(A196&lt;=$E$12,MIN($E$26*E196,$E$27*$E$26*D196),0))</f>
        <v>#N/A</v>
      </c>
      <c r="H194" s="7" t="e">
        <f t="shared" ref="H194:H204" si="55">IF(ISERROR(A196),NA(),IF(ISERROR(B196),0,IF(AND(B196&gt;=$K$18,B196&lt;($K$18+$K$21)),$K$19*(1+$K$20)^(B196-$K$18),0)))</f>
        <v>#N/A</v>
      </c>
      <c r="I194" s="7" t="e">
        <f t="shared" ref="I194:I204" si="56">IF(ISERROR(A196),NA(),IF(B196&gt;=$E$9,D196-H194,0))</f>
        <v>#N/A</v>
      </c>
      <c r="J194" s="8" t="e">
        <f t="shared" ref="J194:J204" si="57">IF(ISERROR(A196),NA(),FV(C196/$E$44,$E$44,-(E196+G194)/$E$44,-(K193-I194*$E$45),0)-(K193+E196+G194-I194*$E$45))</f>
        <v>#N/A</v>
      </c>
      <c r="K194" s="8" t="e">
        <f t="shared" ref="K194:K204" si="58">IF(ISERROR(A196),NA(),K193+E196+G194+J194-I194)</f>
        <v>#N/A</v>
      </c>
    </row>
    <row r="195" spans="1:11" x14ac:dyDescent="0.25">
      <c r="A195" s="4" t="e">
        <f t="shared" si="49"/>
        <v>#N/A</v>
      </c>
      <c r="B195" s="4" t="e">
        <f t="shared" si="41"/>
        <v>#N/A</v>
      </c>
      <c r="C195" s="5" t="e">
        <f t="shared" si="50"/>
        <v>#N/A</v>
      </c>
      <c r="D195" s="7" t="e">
        <f t="shared" si="52"/>
        <v>#N/A</v>
      </c>
      <c r="E195" s="7" t="e">
        <f t="shared" si="51"/>
        <v>#N/A</v>
      </c>
      <c r="F195" s="7" t="e">
        <f t="shared" si="53"/>
        <v>#N/A</v>
      </c>
      <c r="G195" s="7" t="e">
        <f t="shared" si="54"/>
        <v>#N/A</v>
      </c>
      <c r="H195" s="7" t="e">
        <f t="shared" si="55"/>
        <v>#N/A</v>
      </c>
      <c r="I195" s="7" t="e">
        <f t="shared" si="56"/>
        <v>#N/A</v>
      </c>
      <c r="J195" s="8" t="e">
        <f t="shared" si="57"/>
        <v>#N/A</v>
      </c>
      <c r="K195" s="8" t="e">
        <f t="shared" si="58"/>
        <v>#N/A</v>
      </c>
    </row>
    <row r="196" spans="1:11" x14ac:dyDescent="0.25">
      <c r="A196" s="4" t="e">
        <f t="shared" ref="A196:A206" si="59">IF(OR(K193&lt;0,A195&gt;=($E$9-$E$8)+$E$11),NA(),A195+1)</f>
        <v>#N/A</v>
      </c>
      <c r="B196" s="4" t="e">
        <f t="shared" si="41"/>
        <v>#N/A</v>
      </c>
      <c r="C196" s="5" t="e">
        <f t="shared" ref="C196:C206" si="60">IF(ISERROR(A196),NA(),IF(B196&lt;$E$9,$E$15,$E$16))</f>
        <v>#N/A</v>
      </c>
      <c r="D196" s="7" t="e">
        <f t="shared" si="52"/>
        <v>#N/A</v>
      </c>
      <c r="E196" s="7" t="e">
        <f t="shared" ref="E196:E206" si="61">IF(ISERROR(A196),NA(),IF(B196=$E$9-1,$K$25)+IF(A196&lt;=$E$12,$E$25*D196,0))</f>
        <v>#N/A</v>
      </c>
      <c r="F196" s="7" t="e">
        <f t="shared" si="53"/>
        <v>#N/A</v>
      </c>
      <c r="G196" s="7" t="e">
        <f t="shared" si="54"/>
        <v>#N/A</v>
      </c>
      <c r="H196" s="7" t="e">
        <f t="shared" si="55"/>
        <v>#N/A</v>
      </c>
      <c r="I196" s="7" t="e">
        <f t="shared" si="56"/>
        <v>#N/A</v>
      </c>
      <c r="J196" s="8" t="e">
        <f t="shared" si="57"/>
        <v>#N/A</v>
      </c>
      <c r="K196" s="8" t="e">
        <f t="shared" si="58"/>
        <v>#N/A</v>
      </c>
    </row>
    <row r="197" spans="1:11" x14ac:dyDescent="0.25">
      <c r="A197" s="4" t="e">
        <f t="shared" si="59"/>
        <v>#N/A</v>
      </c>
      <c r="B197" s="4" t="e">
        <f t="shared" ref="B197:B206" si="62">IF(ISERROR(A197),NA(),$E$8+A197-1)</f>
        <v>#N/A</v>
      </c>
      <c r="C197" s="5" t="e">
        <f t="shared" si="60"/>
        <v>#N/A</v>
      </c>
      <c r="D197" s="7" t="e">
        <f t="shared" ref="D197:D206" si="63">IF(ISERROR(A197),NA(),IF(B197&gt;=$E$9,$K$9*(1+$E$17)^(B197-$E$9),(1+$E$22)*D196))</f>
        <v>#N/A</v>
      </c>
      <c r="E197" s="7" t="e">
        <f t="shared" si="61"/>
        <v>#N/A</v>
      </c>
      <c r="F197" s="7" t="e">
        <f t="shared" si="53"/>
        <v>#N/A</v>
      </c>
      <c r="G197" s="7" t="e">
        <f t="shared" si="54"/>
        <v>#N/A</v>
      </c>
      <c r="H197" s="7" t="e">
        <f t="shared" si="55"/>
        <v>#N/A</v>
      </c>
      <c r="I197" s="7" t="e">
        <f t="shared" si="56"/>
        <v>#N/A</v>
      </c>
      <c r="J197" s="8" t="e">
        <f t="shared" si="57"/>
        <v>#N/A</v>
      </c>
      <c r="K197" s="8" t="e">
        <f t="shared" si="58"/>
        <v>#N/A</v>
      </c>
    </row>
    <row r="198" spans="1:11" x14ac:dyDescent="0.25">
      <c r="A198" s="4" t="e">
        <f t="shared" si="59"/>
        <v>#N/A</v>
      </c>
      <c r="B198" s="4" t="e">
        <f t="shared" si="62"/>
        <v>#N/A</v>
      </c>
      <c r="C198" s="5" t="e">
        <f t="shared" si="60"/>
        <v>#N/A</v>
      </c>
      <c r="D198" s="7" t="e">
        <f t="shared" si="63"/>
        <v>#N/A</v>
      </c>
      <c r="E198" s="7" t="e">
        <f t="shared" si="61"/>
        <v>#N/A</v>
      </c>
      <c r="F198" s="7" t="e">
        <f t="shared" si="53"/>
        <v>#N/A</v>
      </c>
      <c r="G198" s="7" t="e">
        <f t="shared" si="54"/>
        <v>#N/A</v>
      </c>
      <c r="H198" s="7" t="e">
        <f t="shared" si="55"/>
        <v>#N/A</v>
      </c>
      <c r="I198" s="7" t="e">
        <f t="shared" si="56"/>
        <v>#N/A</v>
      </c>
      <c r="J198" s="8" t="e">
        <f t="shared" si="57"/>
        <v>#N/A</v>
      </c>
      <c r="K198" s="8" t="e">
        <f t="shared" si="58"/>
        <v>#N/A</v>
      </c>
    </row>
    <row r="199" spans="1:11" x14ac:dyDescent="0.25">
      <c r="A199" s="4" t="e">
        <f t="shared" si="59"/>
        <v>#N/A</v>
      </c>
      <c r="B199" s="4" t="e">
        <f t="shared" si="62"/>
        <v>#N/A</v>
      </c>
      <c r="C199" s="5" t="e">
        <f t="shared" si="60"/>
        <v>#N/A</v>
      </c>
      <c r="D199" s="7" t="e">
        <f t="shared" si="63"/>
        <v>#N/A</v>
      </c>
      <c r="E199" s="7" t="e">
        <f t="shared" si="61"/>
        <v>#N/A</v>
      </c>
      <c r="F199" s="7" t="e">
        <f t="shared" si="53"/>
        <v>#N/A</v>
      </c>
      <c r="G199" s="7" t="e">
        <f t="shared" si="54"/>
        <v>#N/A</v>
      </c>
      <c r="H199" s="7" t="e">
        <f t="shared" si="55"/>
        <v>#N/A</v>
      </c>
      <c r="I199" s="7" t="e">
        <f t="shared" si="56"/>
        <v>#N/A</v>
      </c>
      <c r="J199" s="8" t="e">
        <f t="shared" si="57"/>
        <v>#N/A</v>
      </c>
      <c r="K199" s="8" t="e">
        <f t="shared" si="58"/>
        <v>#N/A</v>
      </c>
    </row>
    <row r="200" spans="1:11" x14ac:dyDescent="0.25">
      <c r="A200" s="4" t="e">
        <f t="shared" si="59"/>
        <v>#N/A</v>
      </c>
      <c r="B200" s="4" t="e">
        <f t="shared" si="62"/>
        <v>#N/A</v>
      </c>
      <c r="C200" s="5" t="e">
        <f t="shared" si="60"/>
        <v>#N/A</v>
      </c>
      <c r="D200" s="7" t="e">
        <f t="shared" si="63"/>
        <v>#N/A</v>
      </c>
      <c r="E200" s="7" t="e">
        <f t="shared" si="61"/>
        <v>#N/A</v>
      </c>
      <c r="F200" s="7" t="e">
        <f t="shared" si="53"/>
        <v>#N/A</v>
      </c>
      <c r="G200" s="7" t="e">
        <f t="shared" si="54"/>
        <v>#N/A</v>
      </c>
      <c r="H200" s="7" t="e">
        <f t="shared" si="55"/>
        <v>#N/A</v>
      </c>
      <c r="I200" s="7" t="e">
        <f t="shared" si="56"/>
        <v>#N/A</v>
      </c>
      <c r="J200" s="8" t="e">
        <f t="shared" si="57"/>
        <v>#N/A</v>
      </c>
      <c r="K200" s="8" t="e">
        <f t="shared" si="58"/>
        <v>#N/A</v>
      </c>
    </row>
    <row r="201" spans="1:11" x14ac:dyDescent="0.25">
      <c r="A201" s="4" t="e">
        <f t="shared" si="59"/>
        <v>#N/A</v>
      </c>
      <c r="B201" s="4" t="e">
        <f t="shared" si="62"/>
        <v>#N/A</v>
      </c>
      <c r="C201" s="5" t="e">
        <f t="shared" si="60"/>
        <v>#N/A</v>
      </c>
      <c r="D201" s="7" t="e">
        <f t="shared" si="63"/>
        <v>#N/A</v>
      </c>
      <c r="E201" s="7" t="e">
        <f t="shared" si="61"/>
        <v>#N/A</v>
      </c>
      <c r="F201" s="7" t="e">
        <f t="shared" si="53"/>
        <v>#N/A</v>
      </c>
      <c r="G201" s="7" t="e">
        <f t="shared" si="54"/>
        <v>#N/A</v>
      </c>
      <c r="H201" s="7" t="e">
        <f t="shared" si="55"/>
        <v>#N/A</v>
      </c>
      <c r="I201" s="7" t="e">
        <f t="shared" si="56"/>
        <v>#N/A</v>
      </c>
      <c r="J201" s="8" t="e">
        <f t="shared" si="57"/>
        <v>#N/A</v>
      </c>
      <c r="K201" s="8" t="e">
        <f t="shared" si="58"/>
        <v>#N/A</v>
      </c>
    </row>
    <row r="202" spans="1:11" x14ac:dyDescent="0.25">
      <c r="A202" s="4" t="e">
        <f t="shared" si="59"/>
        <v>#N/A</v>
      </c>
      <c r="B202" s="4" t="e">
        <f t="shared" si="62"/>
        <v>#N/A</v>
      </c>
      <c r="C202" s="5" t="e">
        <f t="shared" si="60"/>
        <v>#N/A</v>
      </c>
      <c r="D202" s="7" t="e">
        <f t="shared" si="63"/>
        <v>#N/A</v>
      </c>
      <c r="E202" s="7" t="e">
        <f t="shared" si="61"/>
        <v>#N/A</v>
      </c>
      <c r="F202" s="7" t="e">
        <f t="shared" si="53"/>
        <v>#N/A</v>
      </c>
      <c r="G202" s="7" t="e">
        <f t="shared" si="54"/>
        <v>#N/A</v>
      </c>
      <c r="H202" s="7" t="e">
        <f t="shared" si="55"/>
        <v>#N/A</v>
      </c>
      <c r="I202" s="7" t="e">
        <f t="shared" si="56"/>
        <v>#N/A</v>
      </c>
      <c r="J202" s="8" t="e">
        <f t="shared" si="57"/>
        <v>#N/A</v>
      </c>
      <c r="K202" s="8" t="e">
        <f t="shared" si="58"/>
        <v>#N/A</v>
      </c>
    </row>
    <row r="203" spans="1:11" x14ac:dyDescent="0.25">
      <c r="A203" s="4" t="e">
        <f t="shared" si="59"/>
        <v>#N/A</v>
      </c>
      <c r="B203" s="4" t="e">
        <f t="shared" si="62"/>
        <v>#N/A</v>
      </c>
      <c r="C203" s="5" t="e">
        <f t="shared" si="60"/>
        <v>#N/A</v>
      </c>
      <c r="D203" s="7" t="e">
        <f t="shared" si="63"/>
        <v>#N/A</v>
      </c>
      <c r="E203" s="7" t="e">
        <f t="shared" si="61"/>
        <v>#N/A</v>
      </c>
      <c r="F203" s="7" t="e">
        <f t="shared" si="53"/>
        <v>#N/A</v>
      </c>
      <c r="G203" s="7" t="e">
        <f t="shared" si="54"/>
        <v>#N/A</v>
      </c>
      <c r="H203" s="7" t="e">
        <f t="shared" si="55"/>
        <v>#N/A</v>
      </c>
      <c r="I203" s="7" t="e">
        <f t="shared" si="56"/>
        <v>#N/A</v>
      </c>
      <c r="J203" s="8" t="e">
        <f t="shared" si="57"/>
        <v>#N/A</v>
      </c>
      <c r="K203" s="8" t="e">
        <f t="shared" si="58"/>
        <v>#N/A</v>
      </c>
    </row>
    <row r="204" spans="1:11" x14ac:dyDescent="0.25">
      <c r="A204" s="4" t="e">
        <f t="shared" si="59"/>
        <v>#N/A</v>
      </c>
      <c r="B204" s="4" t="e">
        <f t="shared" si="62"/>
        <v>#N/A</v>
      </c>
      <c r="C204" s="5" t="e">
        <f t="shared" si="60"/>
        <v>#N/A</v>
      </c>
      <c r="D204" s="7" t="e">
        <f t="shared" si="63"/>
        <v>#N/A</v>
      </c>
      <c r="E204" s="7" t="e">
        <f t="shared" si="61"/>
        <v>#N/A</v>
      </c>
      <c r="F204" s="7" t="e">
        <f t="shared" si="53"/>
        <v>#N/A</v>
      </c>
      <c r="G204" s="7" t="e">
        <f t="shared" si="54"/>
        <v>#N/A</v>
      </c>
      <c r="H204" s="7" t="e">
        <f t="shared" si="55"/>
        <v>#N/A</v>
      </c>
      <c r="I204" s="7" t="e">
        <f t="shared" si="56"/>
        <v>#N/A</v>
      </c>
      <c r="J204" s="8" t="e">
        <f t="shared" si="57"/>
        <v>#N/A</v>
      </c>
      <c r="K204" s="8" t="e">
        <f t="shared" si="58"/>
        <v>#N/A</v>
      </c>
    </row>
    <row r="205" spans="1:11" x14ac:dyDescent="0.25">
      <c r="A205" s="4" t="e">
        <f t="shared" si="59"/>
        <v>#N/A</v>
      </c>
      <c r="B205" s="4" t="e">
        <f t="shared" si="62"/>
        <v>#N/A</v>
      </c>
      <c r="C205" s="5" t="e">
        <f t="shared" si="60"/>
        <v>#N/A</v>
      </c>
      <c r="D205" s="7" t="e">
        <f t="shared" si="63"/>
        <v>#N/A</v>
      </c>
      <c r="E205" s="7" t="e">
        <f t="shared" si="61"/>
        <v>#N/A</v>
      </c>
      <c r="F205" s="34"/>
      <c r="G205" s="34"/>
      <c r="H205" s="34"/>
      <c r="I205" s="34"/>
      <c r="J205" s="34"/>
      <c r="K205" s="34"/>
    </row>
    <row r="206" spans="1:11" x14ac:dyDescent="0.25">
      <c r="A206" s="4" t="e">
        <f t="shared" si="59"/>
        <v>#N/A</v>
      </c>
      <c r="B206" s="4" t="e">
        <f t="shared" si="62"/>
        <v>#N/A</v>
      </c>
      <c r="C206" s="5" t="e">
        <f t="shared" si="60"/>
        <v>#N/A</v>
      </c>
      <c r="D206" s="7" t="e">
        <f t="shared" si="63"/>
        <v>#N/A</v>
      </c>
      <c r="E206" s="7" t="e">
        <f t="shared" si="61"/>
        <v>#N/A</v>
      </c>
    </row>
    <row r="207" spans="1:11" x14ac:dyDescent="0.25">
      <c r="A207" s="34"/>
      <c r="B207" s="34"/>
      <c r="C207" s="34"/>
      <c r="D207" s="34"/>
      <c r="E207" s="34"/>
    </row>
  </sheetData>
  <mergeCells count="2">
    <mergeCell ref="B3:E3"/>
    <mergeCell ref="H3:I3"/>
  </mergeCells>
  <phoneticPr fontId="2" type="noConversion"/>
  <conditionalFormatting sqref="E15:E17">
    <cfRule type="expression" dxfId="10" priority="10" stopIfTrue="1">
      <formula>randrate</formula>
    </cfRule>
  </conditionalFormatting>
  <conditionalFormatting sqref="F130:K204 A132:E206 F49:K123 A51:E125">
    <cfRule type="expression" dxfId="9" priority="11" stopIfTrue="1">
      <formula>ISERROR(A49)</formula>
    </cfRule>
    <cfRule type="expression" dxfId="8" priority="12" stopIfTrue="1">
      <formula>MOD(ROW(),2)=1</formula>
    </cfRule>
  </conditionalFormatting>
  <conditionalFormatting sqref="K20">
    <cfRule type="expression" dxfId="7" priority="6" stopIfTrue="1">
      <formula>randrate</formula>
    </cfRule>
  </conditionalFormatting>
  <conditionalFormatting sqref="E9">
    <cfRule type="cellIs" dxfId="6" priority="1" operator="lessThan">
      <formula>$E$8</formula>
    </cfRule>
  </conditionalFormatting>
  <dataValidations count="2">
    <dataValidation type="list" allowBlank="1" showInputMessage="1" showErrorMessage="1" sqref="E44" xr:uid="{00000000-0002-0000-0000-000000000000}">
      <formula1>"12,24,26,52,13,4,2,1"</formula1>
    </dataValidation>
    <dataValidation type="list" allowBlank="1" showInputMessage="1" showErrorMessage="1" sqref="E45" xr:uid="{00000000-0002-0000-0000-000001000000}">
      <formula1>"0,1"</formula1>
    </dataValidation>
  </dataValidations>
  <hyperlinks>
    <hyperlink ref="M7" r:id="rId1" display="https://www.vertex42.com/Calculators/retirement-calculator.html" xr:uid="{00000000-0004-0000-0000-000000000000}"/>
    <hyperlink ref="M12" r:id="rId2" xr:uid="{EF2785A4-3FC2-420A-B805-ADE840115956}"/>
  </hyperlinks>
  <printOptions horizontalCentered="1"/>
  <pageMargins left="0.5" right="0.5" top="0.5" bottom="0.5" header="0.5" footer="0.25"/>
  <pageSetup scale="93" fitToHeight="0" orientation="portrait" r:id="rId3"/>
  <headerFooter scaleWithDoc="0">
    <firstFooter>&amp;R&amp;"Arial,Regular"&amp;8Page &amp;P of &amp;N</firstFooter>
  </headerFooter>
  <drawing r:id="rId4"/>
  <legacy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2"/>
  <sheetViews>
    <sheetView showGridLines="0" topLeftCell="A18" workbookViewId="0">
      <selection activeCell="B27" sqref="B27"/>
    </sheetView>
  </sheetViews>
  <sheetFormatPr defaultColWidth="9.1796875" defaultRowHeight="12.5" x14ac:dyDescent="0.25"/>
  <cols>
    <col min="1" max="1" width="10.453125" style="29" customWidth="1"/>
    <col min="2" max="2" width="72.7265625" style="29" customWidth="1"/>
    <col min="3" max="3" width="19.1796875" style="29" customWidth="1"/>
    <col min="4" max="4" width="10.26953125" style="29" customWidth="1"/>
    <col min="5" max="16384" width="9.1796875" style="29"/>
  </cols>
  <sheetData>
    <row r="1" spans="1:5" ht="31.5" customHeight="1" x14ac:dyDescent="0.25">
      <c r="A1" s="99" t="s">
        <v>10</v>
      </c>
      <c r="B1" s="99"/>
      <c r="C1" s="99"/>
    </row>
    <row r="2" spans="1:5" x14ac:dyDescent="0.25">
      <c r="A2" s="2" t="s">
        <v>78</v>
      </c>
      <c r="C2" s="19" t="s">
        <v>88</v>
      </c>
    </row>
    <row r="3" spans="1:5" x14ac:dyDescent="0.25">
      <c r="B3" s="30"/>
    </row>
    <row r="4" spans="1:5" ht="17.5" x14ac:dyDescent="0.25">
      <c r="A4" s="100" t="s">
        <v>90</v>
      </c>
      <c r="B4" s="101"/>
      <c r="C4" s="102"/>
    </row>
    <row r="5" spans="1:5" ht="42" x14ac:dyDescent="0.25">
      <c r="B5" s="20" t="s">
        <v>67</v>
      </c>
    </row>
    <row r="6" spans="1:5" ht="14" x14ac:dyDescent="0.25">
      <c r="B6" s="20"/>
    </row>
    <row r="7" spans="1:5" ht="56" x14ac:dyDescent="0.25">
      <c r="B7" s="20" t="s">
        <v>66</v>
      </c>
    </row>
    <row r="8" spans="1:5" ht="14" x14ac:dyDescent="0.25">
      <c r="B8" s="20"/>
    </row>
    <row r="9" spans="1:5" ht="42" x14ac:dyDescent="0.25">
      <c r="B9" s="20" t="s">
        <v>69</v>
      </c>
    </row>
    <row r="10" spans="1:5" ht="14" x14ac:dyDescent="0.25">
      <c r="B10" s="20"/>
    </row>
    <row r="11" spans="1:5" ht="17.5" x14ac:dyDescent="0.25">
      <c r="A11" s="100" t="s">
        <v>40</v>
      </c>
      <c r="B11" s="101"/>
      <c r="C11" s="102"/>
    </row>
    <row r="12" spans="1:5" ht="14" x14ac:dyDescent="0.25">
      <c r="B12" s="28" t="s">
        <v>39</v>
      </c>
    </row>
    <row r="13" spans="1:5" ht="14" x14ac:dyDescent="0.25">
      <c r="B13" s="20"/>
    </row>
    <row r="14" spans="1:5" ht="14" x14ac:dyDescent="0.25">
      <c r="B14" s="27" t="s">
        <v>68</v>
      </c>
    </row>
    <row r="15" spans="1:5" ht="14" x14ac:dyDescent="0.25">
      <c r="A15" s="22"/>
      <c r="B15" s="23"/>
    </row>
    <row r="16" spans="1:5" ht="17.5" x14ac:dyDescent="0.25">
      <c r="A16" s="100" t="s">
        <v>11</v>
      </c>
      <c r="B16" s="101"/>
      <c r="C16" s="102"/>
      <c r="E16" s="21"/>
    </row>
    <row r="17" spans="1:5" ht="28" x14ac:dyDescent="0.25">
      <c r="B17" s="23" t="s">
        <v>12</v>
      </c>
      <c r="E17" s="21"/>
    </row>
    <row r="18" spans="1:5" ht="14" x14ac:dyDescent="0.25">
      <c r="B18" s="23"/>
      <c r="E18" s="21"/>
    </row>
    <row r="19" spans="1:5" ht="17.5" x14ac:dyDescent="0.25">
      <c r="A19" s="100" t="s">
        <v>91</v>
      </c>
      <c r="B19" s="101"/>
      <c r="C19" s="102"/>
      <c r="E19" s="21"/>
    </row>
    <row r="21" spans="1:5" ht="14" x14ac:dyDescent="0.3">
      <c r="B21" s="103" t="str">
        <f>HYPERLINK("https://www.vertex42.com/Calculators/home-mortgage-calculator.html","► Home Mortgage Calculator")</f>
        <v>► Home Mortgage Calculator</v>
      </c>
    </row>
    <row r="22" spans="1:5" ht="14" x14ac:dyDescent="0.3">
      <c r="B22" s="103"/>
      <c r="E22" s="25"/>
    </row>
    <row r="23" spans="1:5" ht="14" x14ac:dyDescent="0.3">
      <c r="B23" s="103" t="str">
        <f>HYPERLINK("https://www.vertex42.com/Calculators/401k-savings-calculator.html","► 401(k) Savings Calculator")</f>
        <v>► 401(k) Savings Calculator</v>
      </c>
      <c r="E23" s="25"/>
    </row>
    <row r="24" spans="1:5" ht="14" x14ac:dyDescent="0.3">
      <c r="B24" s="103"/>
      <c r="E24" s="25"/>
    </row>
    <row r="25" spans="1:5" ht="14" x14ac:dyDescent="0.3">
      <c r="B25" s="103" t="str">
        <f>HYPERLINK("https://www.vertex42.com/Calculators/retirement-withdrawal-calculator.html","► Retirement Withdrawal Calculator")</f>
        <v>► Retirement Withdrawal Calculator</v>
      </c>
      <c r="E25" s="25"/>
    </row>
    <row r="26" spans="1:5" ht="14" x14ac:dyDescent="0.3">
      <c r="B26" s="103"/>
      <c r="E26" s="25"/>
    </row>
    <row r="27" spans="1:5" ht="14" x14ac:dyDescent="0.3">
      <c r="B27" s="103" t="str">
        <f>HYPERLINK("https://www.vertex42.com/ExcelTemplates/money-management-template.html","► Money Management Template")</f>
        <v>► Money Management Template</v>
      </c>
      <c r="E27" s="25"/>
    </row>
    <row r="28" spans="1:5" ht="14" x14ac:dyDescent="0.3">
      <c r="A28" s="24"/>
      <c r="B28" s="103"/>
      <c r="E28" s="25"/>
    </row>
    <row r="29" spans="1:5" ht="14" x14ac:dyDescent="0.3">
      <c r="B29" s="103" t="str">
        <f>HYPERLINK("https://www.vertex42.com/Calculators/financial-calculators.html","► More Financial Calculators")</f>
        <v>► More Financial Calculators</v>
      </c>
      <c r="E29" s="25"/>
    </row>
    <row r="30" spans="1:5" ht="14" x14ac:dyDescent="0.3">
      <c r="B30" s="26"/>
      <c r="E30" s="25"/>
    </row>
    <row r="31" spans="1:5" x14ac:dyDescent="0.25">
      <c r="E31" s="31"/>
    </row>
    <row r="32" spans="1:5" ht="13" x14ac:dyDescent="0.3">
      <c r="E32" s="25"/>
    </row>
  </sheetData>
  <hyperlinks>
    <hyperlink ref="A2" r:id="rId1" xr:uid="{00000000-0004-0000-0100-000000000000}"/>
  </hyperlinks>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B28BB-AE35-4B9F-9D17-16526702BF89}">
  <dimension ref="A1:C19"/>
  <sheetViews>
    <sheetView showGridLines="0" workbookViewId="0"/>
  </sheetViews>
  <sheetFormatPr defaultColWidth="9.1796875" defaultRowHeight="12.5" x14ac:dyDescent="0.25"/>
  <cols>
    <col min="1" max="1" width="2.81640625" style="97" customWidth="1"/>
    <col min="2" max="2" width="71.54296875" style="97" customWidth="1"/>
    <col min="3" max="3" width="22.26953125" style="87" customWidth="1"/>
    <col min="4" max="16384" width="9.1796875" style="87"/>
  </cols>
  <sheetData>
    <row r="1" spans="1:3" ht="32.15" customHeight="1" x14ac:dyDescent="0.25">
      <c r="A1" s="84"/>
      <c r="B1" s="85" t="s">
        <v>17</v>
      </c>
      <c r="C1" s="86"/>
    </row>
    <row r="2" spans="1:3" ht="15.5" x14ac:dyDescent="0.35">
      <c r="A2" s="88"/>
      <c r="B2" s="89"/>
      <c r="C2" s="90"/>
    </row>
    <row r="3" spans="1:3" ht="15.5" x14ac:dyDescent="0.35">
      <c r="A3" s="88"/>
      <c r="B3" s="91" t="s">
        <v>13</v>
      </c>
      <c r="C3" s="90"/>
    </row>
    <row r="4" spans="1:3" ht="14" x14ac:dyDescent="0.3">
      <c r="A4" s="88"/>
      <c r="B4" s="92" t="s">
        <v>78</v>
      </c>
      <c r="C4" s="90"/>
    </row>
    <row r="5" spans="1:3" ht="15.5" x14ac:dyDescent="0.35">
      <c r="A5" s="88"/>
      <c r="B5" s="93"/>
      <c r="C5" s="90"/>
    </row>
    <row r="6" spans="1:3" ht="15.5" x14ac:dyDescent="0.35">
      <c r="A6" s="88"/>
      <c r="B6" s="94" t="s">
        <v>88</v>
      </c>
      <c r="C6" s="90"/>
    </row>
    <row r="7" spans="1:3" ht="15.5" x14ac:dyDescent="0.35">
      <c r="A7" s="88"/>
      <c r="B7" s="93"/>
      <c r="C7" s="90"/>
    </row>
    <row r="8" spans="1:3" ht="31" x14ac:dyDescent="0.35">
      <c r="A8" s="88"/>
      <c r="B8" s="93" t="s">
        <v>16</v>
      </c>
      <c r="C8" s="90"/>
    </row>
    <row r="9" spans="1:3" ht="15.5" x14ac:dyDescent="0.35">
      <c r="A9" s="88"/>
      <c r="B9" s="93"/>
      <c r="C9" s="90"/>
    </row>
    <row r="10" spans="1:3" ht="31" x14ac:dyDescent="0.35">
      <c r="A10" s="88"/>
      <c r="B10" s="93" t="s">
        <v>14</v>
      </c>
      <c r="C10" s="90"/>
    </row>
    <row r="11" spans="1:3" ht="15.5" x14ac:dyDescent="0.35">
      <c r="A11" s="88"/>
      <c r="B11" s="93"/>
      <c r="C11" s="90"/>
    </row>
    <row r="12" spans="1:3" ht="31" x14ac:dyDescent="0.35">
      <c r="A12" s="88"/>
      <c r="B12" s="93" t="s">
        <v>15</v>
      </c>
      <c r="C12" s="90"/>
    </row>
    <row r="13" spans="1:3" ht="15.5" x14ac:dyDescent="0.35">
      <c r="A13" s="88"/>
      <c r="B13" s="93"/>
      <c r="C13" s="90"/>
    </row>
    <row r="14" spans="1:3" ht="15.5" x14ac:dyDescent="0.35">
      <c r="A14" s="88"/>
      <c r="B14" s="94" t="s">
        <v>81</v>
      </c>
      <c r="C14" s="90"/>
    </row>
    <row r="15" spans="1:3" ht="15.5" x14ac:dyDescent="0.35">
      <c r="A15" s="88"/>
      <c r="B15" s="98" t="s">
        <v>79</v>
      </c>
      <c r="C15" s="90"/>
    </row>
    <row r="16" spans="1:3" ht="15.5" x14ac:dyDescent="0.35">
      <c r="A16" s="88"/>
      <c r="B16" s="95"/>
      <c r="C16" s="90"/>
    </row>
    <row r="17" spans="1:3" ht="15.5" x14ac:dyDescent="0.35">
      <c r="A17" s="88"/>
      <c r="B17" s="96" t="s">
        <v>80</v>
      </c>
      <c r="C17" s="90"/>
    </row>
    <row r="18" spans="1:3" ht="14" x14ac:dyDescent="0.3">
      <c r="A18" s="88"/>
      <c r="B18" s="88"/>
      <c r="C18" s="90"/>
    </row>
    <row r="19" spans="1:3" ht="14" x14ac:dyDescent="0.3">
      <c r="A19" s="88"/>
      <c r="B19" s="88"/>
      <c r="C19" s="90"/>
    </row>
  </sheetData>
  <hyperlinks>
    <hyperlink ref="B15" r:id="rId1" xr:uid="{B10CF523-D333-45BF-B3C5-F71578B096BB}"/>
    <hyperlink ref="B4" r:id="rId2" xr:uid="{7B167FEF-83F2-4972-B12D-4D8663E56013}"/>
  </hyperlinks>
  <pageMargins left="0.7" right="0.7" top="0.75" bottom="0.75" header="0.3" footer="0.3"/>
  <pageSetup orientation="portrait" r:id="rId3"/>
  <drawing r:id="rId4"/>
  <picture r:id="rId5"/>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8F5C5-BA1F-49BB-AF77-77B2FF14CD32}">
  <sheetPr>
    <pageSetUpPr fitToPage="1"/>
  </sheetPr>
  <dimension ref="A1:M206"/>
  <sheetViews>
    <sheetView showGridLines="0" topLeftCell="A10" workbookViewId="0">
      <selection activeCell="I21" sqref="I21"/>
    </sheetView>
  </sheetViews>
  <sheetFormatPr defaultColWidth="9.1796875" defaultRowHeight="12.5" x14ac:dyDescent="0.25"/>
  <cols>
    <col min="1" max="1" width="6.453125" style="87" customWidth="1"/>
    <col min="2" max="2" width="6.7265625" style="87" customWidth="1"/>
    <col min="3" max="3" width="7.54296875" style="87" customWidth="1"/>
    <col min="4" max="4" width="8.81640625" style="87" customWidth="1"/>
    <col min="5" max="5" width="13" style="87" customWidth="1"/>
    <col min="6" max="6" width="4.7265625" style="87" customWidth="1"/>
    <col min="7" max="7" width="11.54296875" style="87" customWidth="1"/>
    <col min="8" max="8" width="10.81640625" style="87" customWidth="1"/>
    <col min="9" max="9" width="12.1796875" style="87" customWidth="1"/>
    <col min="10" max="10" width="10.26953125" style="87" customWidth="1"/>
    <col min="11" max="11" width="15" style="87" customWidth="1"/>
    <col min="12" max="12" width="4.1796875" style="87" customWidth="1"/>
    <col min="13" max="13" width="37.81640625" style="87" customWidth="1"/>
    <col min="14" max="15" width="9.1796875" style="87"/>
    <col min="16" max="16" width="17.7265625" style="87" customWidth="1"/>
    <col min="17" max="17" width="11.26953125" style="87" bestFit="1" customWidth="1"/>
    <col min="18" max="16384" width="9.1796875" style="87"/>
  </cols>
  <sheetData>
    <row r="1" spans="1:13" ht="30" hidden="1" customHeight="1" x14ac:dyDescent="0.25">
      <c r="A1" s="9" t="s">
        <v>17</v>
      </c>
      <c r="B1" s="9"/>
      <c r="C1" s="9"/>
      <c r="D1" s="9"/>
      <c r="E1" s="9"/>
      <c r="F1" s="9"/>
      <c r="G1" s="9"/>
      <c r="H1" s="9"/>
      <c r="I1" s="9"/>
      <c r="J1" s="9"/>
      <c r="K1" s="9"/>
    </row>
    <row r="2" spans="1:13" x14ac:dyDescent="0.25">
      <c r="M2" s="78" t="s">
        <v>77</v>
      </c>
    </row>
    <row r="3" spans="1:13" ht="15.5" hidden="1" x14ac:dyDescent="0.35">
      <c r="A3" s="72" t="s">
        <v>60</v>
      </c>
      <c r="B3" s="125"/>
      <c r="C3" s="125"/>
      <c r="D3" s="125"/>
      <c r="E3" s="125"/>
      <c r="G3" s="72" t="s">
        <v>58</v>
      </c>
      <c r="H3" s="125"/>
      <c r="I3" s="125"/>
      <c r="K3" s="87" t="s">
        <v>75</v>
      </c>
    </row>
    <row r="4" spans="1:13" hidden="1" x14ac:dyDescent="0.25">
      <c r="A4" s="2"/>
      <c r="B4" s="87" t="s">
        <v>57</v>
      </c>
      <c r="H4" s="87" t="s">
        <v>57</v>
      </c>
    </row>
    <row r="5" spans="1:13" hidden="1" x14ac:dyDescent="0.25">
      <c r="A5" s="2"/>
      <c r="H5" s="87" t="s">
        <v>59</v>
      </c>
    </row>
    <row r="6" spans="1:13" hidden="1" x14ac:dyDescent="0.25">
      <c r="A6" s="2"/>
      <c r="H6" s="87" t="s">
        <v>61</v>
      </c>
    </row>
    <row r="7" spans="1:13" ht="15.5" thickBot="1" x14ac:dyDescent="0.3">
      <c r="A7" s="37" t="s">
        <v>47</v>
      </c>
      <c r="B7" s="37"/>
      <c r="C7" s="37"/>
      <c r="D7" s="37"/>
      <c r="E7" s="37"/>
      <c r="F7" s="38"/>
      <c r="G7" s="54" t="s">
        <v>37</v>
      </c>
      <c r="H7" s="54"/>
      <c r="I7" s="54"/>
      <c r="J7" s="54"/>
      <c r="K7" s="54"/>
      <c r="M7" s="2" t="s">
        <v>17</v>
      </c>
    </row>
    <row r="8" spans="1:13" ht="15" customHeight="1" x14ac:dyDescent="0.3">
      <c r="A8" s="10"/>
      <c r="B8" s="11"/>
      <c r="C8" s="11"/>
      <c r="D8" s="11" t="s">
        <v>1</v>
      </c>
      <c r="E8" s="46">
        <v>52</v>
      </c>
      <c r="G8" s="47"/>
      <c r="H8" s="47"/>
      <c r="I8" s="47"/>
      <c r="J8" s="51" t="s">
        <v>101</v>
      </c>
      <c r="K8" s="59">
        <v>45000</v>
      </c>
      <c r="M8" s="106" t="s">
        <v>13</v>
      </c>
    </row>
    <row r="9" spans="1:13" ht="15" customHeight="1" x14ac:dyDescent="0.3">
      <c r="A9" s="10"/>
      <c r="B9" s="11"/>
      <c r="C9" s="11"/>
      <c r="D9" s="11" t="s">
        <v>2</v>
      </c>
      <c r="E9" s="42">
        <v>60</v>
      </c>
      <c r="G9" s="47"/>
      <c r="H9" s="47"/>
      <c r="I9" s="48"/>
      <c r="J9" s="49" t="s">
        <v>102</v>
      </c>
      <c r="K9" s="40">
        <f>FV(E16,(E9-E8),,-K8)</f>
        <v>61585.607268237334</v>
      </c>
      <c r="M9" s="107" t="s">
        <v>88</v>
      </c>
    </row>
    <row r="10" spans="1:13" ht="15" customHeight="1" x14ac:dyDescent="0.3">
      <c r="A10" s="10"/>
      <c r="B10" s="11"/>
      <c r="C10" s="11"/>
      <c r="D10" s="32" t="s">
        <v>92</v>
      </c>
      <c r="E10" s="42">
        <v>15</v>
      </c>
      <c r="G10" s="47"/>
      <c r="H10" s="47"/>
      <c r="I10" s="47"/>
      <c r="J10" s="49" t="s">
        <v>49</v>
      </c>
      <c r="K10" s="40">
        <f>PV(((1+E15)/(1+E16)-1)/E43,E10*E43,-IF(E44=1,K9/E43,K9/(1+E16)/E43),,1)</f>
        <v>864669.00970295991</v>
      </c>
      <c r="M10" s="107" t="s">
        <v>89</v>
      </c>
    </row>
    <row r="11" spans="1:13" ht="15" customHeight="1" x14ac:dyDescent="0.3">
      <c r="A11" s="10"/>
      <c r="B11" s="11"/>
      <c r="C11" s="11"/>
      <c r="D11" s="32" t="s">
        <v>93</v>
      </c>
      <c r="E11" s="74">
        <f>E9-E8</f>
        <v>8</v>
      </c>
      <c r="G11" s="47"/>
      <c r="H11" s="47"/>
      <c r="I11" s="47"/>
      <c r="J11" s="47"/>
      <c r="K11" s="47"/>
    </row>
    <row r="12" spans="1:13" ht="15" customHeight="1" x14ac:dyDescent="0.25">
      <c r="A12" s="10"/>
      <c r="B12" s="11"/>
      <c r="C12" s="11"/>
      <c r="D12" s="11"/>
      <c r="E12" s="11"/>
      <c r="G12" s="56" t="s">
        <v>23</v>
      </c>
      <c r="H12" s="57"/>
      <c r="I12" s="57"/>
      <c r="J12" s="57"/>
      <c r="K12" s="58"/>
      <c r="M12" s="2" t="s">
        <v>82</v>
      </c>
    </row>
    <row r="13" spans="1:13" ht="15" customHeight="1" x14ac:dyDescent="0.25">
      <c r="A13" s="55" t="s">
        <v>44</v>
      </c>
      <c r="B13" s="53"/>
      <c r="C13" s="53"/>
      <c r="D13" s="53"/>
      <c r="E13" s="53"/>
      <c r="G13" s="47"/>
      <c r="H13" s="47"/>
      <c r="I13" s="47"/>
      <c r="J13" s="51" t="s">
        <v>45</v>
      </c>
      <c r="K13" s="39">
        <v>0</v>
      </c>
    </row>
    <row r="14" spans="1:13" ht="15" customHeight="1" x14ac:dyDescent="0.3">
      <c r="A14" s="10"/>
      <c r="B14" s="11"/>
      <c r="C14" s="11"/>
      <c r="D14" s="32" t="s">
        <v>94</v>
      </c>
      <c r="E14" s="45">
        <v>7.4999999999999997E-2</v>
      </c>
      <c r="G14" s="47"/>
      <c r="H14" s="47"/>
      <c r="I14" s="47"/>
      <c r="J14" s="49" t="s">
        <v>41</v>
      </c>
      <c r="K14" s="40">
        <f>-FV(E14/E43,(E9-E8)*E43,0,K13,0)</f>
        <v>0</v>
      </c>
      <c r="M14" s="18" t="s">
        <v>25</v>
      </c>
    </row>
    <row r="15" spans="1:13" ht="15" customHeight="1" x14ac:dyDescent="0.3">
      <c r="A15" s="10"/>
      <c r="B15" s="11"/>
      <c r="C15" s="11"/>
      <c r="D15" s="32" t="s">
        <v>42</v>
      </c>
      <c r="E15" s="17">
        <v>0.05</v>
      </c>
      <c r="G15" s="47"/>
      <c r="H15" s="47"/>
      <c r="I15" s="47"/>
      <c r="J15" s="49" t="s">
        <v>53</v>
      </c>
      <c r="K15" s="40">
        <f>IF(E21=E14,(E29/E43)*((E11*E43)*(1+E14/E43)^(E11*E43))/(1+E21/E43),(E29/E43)*((1+E21/E43)^(E11*E43)-(1+E14/E43)^(E11*E43))/(E21/E43-E14/E43))</f>
        <v>0</v>
      </c>
      <c r="M15" s="78" t="s">
        <v>24</v>
      </c>
    </row>
    <row r="16" spans="1:13" ht="15" customHeight="1" x14ac:dyDescent="0.3">
      <c r="A16" s="10"/>
      <c r="B16" s="11"/>
      <c r="C16" s="11"/>
      <c r="D16" s="32" t="s">
        <v>19</v>
      </c>
      <c r="E16" s="17">
        <v>0.04</v>
      </c>
      <c r="G16" s="47"/>
      <c r="H16" s="47"/>
      <c r="I16" s="47"/>
      <c r="J16" s="47"/>
      <c r="K16" s="73"/>
      <c r="M16" s="78" t="s">
        <v>27</v>
      </c>
    </row>
    <row r="17" spans="1:13" ht="15" customHeight="1" x14ac:dyDescent="0.25">
      <c r="A17" s="10"/>
      <c r="B17" s="11"/>
      <c r="C17" s="11"/>
      <c r="D17" s="11"/>
      <c r="E17" s="11"/>
      <c r="F17" s="36"/>
      <c r="G17" s="56" t="s">
        <v>36</v>
      </c>
      <c r="H17" s="57"/>
      <c r="I17" s="57"/>
      <c r="J17" s="57"/>
      <c r="K17" s="58"/>
      <c r="M17" s="78" t="s">
        <v>70</v>
      </c>
    </row>
    <row r="18" spans="1:13" ht="15" customHeight="1" x14ac:dyDescent="0.3">
      <c r="A18" s="55" t="s">
        <v>51</v>
      </c>
      <c r="B18" s="53"/>
      <c r="C18" s="53"/>
      <c r="D18" s="53"/>
      <c r="E18" s="53"/>
      <c r="G18" s="47"/>
      <c r="H18" s="50"/>
      <c r="I18" s="47"/>
      <c r="J18" s="49" t="s">
        <v>32</v>
      </c>
      <c r="K18" s="42">
        <f>E9</f>
        <v>60</v>
      </c>
      <c r="M18" s="78" t="s">
        <v>71</v>
      </c>
    </row>
    <row r="19" spans="1:13" ht="15" customHeight="1" x14ac:dyDescent="0.25">
      <c r="A19" s="55"/>
      <c r="B19" s="53"/>
      <c r="C19" s="53"/>
      <c r="D19" s="32" t="s">
        <v>103</v>
      </c>
      <c r="E19" s="105">
        <v>40000</v>
      </c>
      <c r="G19" s="47"/>
      <c r="H19" s="47"/>
      <c r="I19" s="47"/>
      <c r="J19" s="49" t="s">
        <v>33</v>
      </c>
      <c r="K19" s="39">
        <v>0</v>
      </c>
      <c r="M19" s="78" t="s">
        <v>72</v>
      </c>
    </row>
    <row r="20" spans="1:13" ht="15" customHeight="1" x14ac:dyDescent="0.3">
      <c r="A20" s="10"/>
      <c r="B20" s="11"/>
      <c r="C20" s="11"/>
      <c r="D20" s="32" t="s">
        <v>9</v>
      </c>
      <c r="E20" s="104">
        <f>E19*12</f>
        <v>480000</v>
      </c>
      <c r="F20" s="36"/>
      <c r="G20" s="47"/>
      <c r="H20" s="47"/>
      <c r="I20" s="47"/>
      <c r="J20" s="49" t="s">
        <v>35</v>
      </c>
      <c r="K20" s="17">
        <v>2.8000000000000001E-2</v>
      </c>
      <c r="M20" s="78"/>
    </row>
    <row r="21" spans="1:13" ht="15" customHeight="1" x14ac:dyDescent="0.3">
      <c r="A21" s="10"/>
      <c r="B21" s="11"/>
      <c r="C21" s="11"/>
      <c r="D21" s="11" t="s">
        <v>5</v>
      </c>
      <c r="E21" s="45">
        <v>0.05</v>
      </c>
      <c r="G21" s="47"/>
      <c r="H21" s="47"/>
      <c r="I21" s="47"/>
      <c r="J21" s="49" t="s">
        <v>96</v>
      </c>
      <c r="K21" s="40">
        <f>E10-(K18-E9)</f>
        <v>15</v>
      </c>
      <c r="M21" s="78" t="s">
        <v>28</v>
      </c>
    </row>
    <row r="22" spans="1:13" ht="15" customHeight="1" x14ac:dyDescent="0.25">
      <c r="A22" s="10"/>
      <c r="B22" s="11"/>
      <c r="C22" s="11"/>
      <c r="D22" s="11"/>
      <c r="E22" s="11"/>
      <c r="F22" s="35"/>
      <c r="G22" s="47"/>
      <c r="H22" s="47"/>
      <c r="I22" s="47"/>
      <c r="J22" s="49" t="s">
        <v>43</v>
      </c>
      <c r="K22" s="40">
        <f>PV(E15,K18-E9-1,,-IF(K20=E15,K19*K21/(1+K20),K19*(((1+K20)/(1+E15))^K21-1)/(K20-E15)),1)</f>
        <v>0</v>
      </c>
      <c r="M22" s="78" t="s">
        <v>38</v>
      </c>
    </row>
    <row r="23" spans="1:13" ht="15" customHeight="1" x14ac:dyDescent="0.25">
      <c r="A23" s="55" t="s">
        <v>54</v>
      </c>
      <c r="B23" s="53"/>
      <c r="C23" s="53"/>
      <c r="D23" s="53"/>
      <c r="E23" s="53"/>
      <c r="G23" s="47"/>
      <c r="H23" s="47"/>
      <c r="I23" s="47"/>
      <c r="J23" s="47"/>
      <c r="K23" s="47"/>
      <c r="M23" s="78"/>
    </row>
    <row r="24" spans="1:13" ht="15" customHeight="1" x14ac:dyDescent="0.3">
      <c r="A24" s="10"/>
      <c r="B24" s="11"/>
      <c r="C24" s="11"/>
      <c r="D24" s="32" t="s">
        <v>83</v>
      </c>
      <c r="E24" s="45">
        <v>1.4999999999999999E-2</v>
      </c>
      <c r="G24" s="56" t="s">
        <v>97</v>
      </c>
      <c r="H24" s="57"/>
      <c r="I24" s="57"/>
      <c r="J24" s="57"/>
      <c r="K24" s="58"/>
      <c r="M24" s="78" t="s">
        <v>30</v>
      </c>
    </row>
    <row r="25" spans="1:13" ht="15" customHeight="1" x14ac:dyDescent="0.3">
      <c r="A25" s="10"/>
      <c r="B25" s="11"/>
      <c r="C25" s="11"/>
      <c r="D25" s="79" t="s">
        <v>95</v>
      </c>
      <c r="E25" s="45">
        <v>1</v>
      </c>
      <c r="G25" s="47"/>
      <c r="H25" s="47"/>
      <c r="I25" s="47"/>
      <c r="J25" s="49" t="s">
        <v>50</v>
      </c>
      <c r="K25" s="39">
        <v>0</v>
      </c>
      <c r="M25" s="78" t="s">
        <v>31</v>
      </c>
    </row>
    <row r="26" spans="1:13" ht="15" customHeight="1" x14ac:dyDescent="0.3">
      <c r="A26" s="10"/>
      <c r="B26" s="11"/>
      <c r="C26" s="11"/>
      <c r="D26" s="79" t="s">
        <v>84</v>
      </c>
      <c r="E26" s="45">
        <f>E24</f>
        <v>1.4999999999999999E-2</v>
      </c>
      <c r="K26" s="80" t="str">
        <f>IF(K27&lt;0,"Note: There is a surplus. Some results might not apply.",".")</f>
        <v>.</v>
      </c>
      <c r="M26" s="78" t="s">
        <v>73</v>
      </c>
    </row>
    <row r="27" spans="1:13" ht="15" customHeight="1" x14ac:dyDescent="0.25">
      <c r="A27" s="10"/>
      <c r="B27" s="11"/>
      <c r="C27" s="11"/>
      <c r="D27" s="32" t="s">
        <v>85</v>
      </c>
      <c r="E27" s="52">
        <v>0</v>
      </c>
      <c r="G27" s="63"/>
      <c r="H27" s="63"/>
      <c r="I27" s="63"/>
      <c r="J27" s="64" t="s">
        <v>46</v>
      </c>
      <c r="K27" s="81">
        <f>K10-K14-K15-K22-K25</f>
        <v>864669.00970295991</v>
      </c>
      <c r="M27" s="78" t="s">
        <v>74</v>
      </c>
    </row>
    <row r="28" spans="1:13" ht="15" customHeight="1" x14ac:dyDescent="0.25">
      <c r="A28" s="10"/>
      <c r="B28" s="11"/>
      <c r="C28" s="11"/>
      <c r="D28" s="32" t="s">
        <v>86</v>
      </c>
      <c r="E28" s="52">
        <v>0</v>
      </c>
      <c r="G28" s="65"/>
      <c r="H28" s="65"/>
      <c r="I28" s="65"/>
      <c r="J28" s="66" t="s">
        <v>62</v>
      </c>
      <c r="K28" s="71">
        <f>IF(K9=0," - ",NPER((1+E15)/(1+E16)-1,-IF(E44=1,K9,K9/(1+E16)),K10-K27,,E44))</f>
        <v>0</v>
      </c>
      <c r="M28" s="78"/>
    </row>
    <row r="29" spans="1:13" ht="14" x14ac:dyDescent="0.25">
      <c r="A29" s="10"/>
      <c r="B29" s="11"/>
      <c r="C29" s="11"/>
      <c r="D29" s="32" t="s">
        <v>87</v>
      </c>
      <c r="E29" s="52">
        <f>E27+E28</f>
        <v>0</v>
      </c>
      <c r="G29" s="67"/>
      <c r="H29" s="65"/>
      <c r="I29" s="65"/>
      <c r="J29" s="66" t="s">
        <v>52</v>
      </c>
      <c r="K29" s="82">
        <f>K27/IF(E21=E14,(E11*E43)*(1+E14/E43)^(E11*E43)/(1+E21/E43),(((1+E21/E43)^(E11*E43)-(1+E14/E43)^(E11*E43))/(E21/E43-E14/E43)))*E43</f>
        <v>70637.726291000785</v>
      </c>
      <c r="M29" s="78" t="s">
        <v>98</v>
      </c>
    </row>
    <row r="30" spans="1:13" ht="14" x14ac:dyDescent="0.25">
      <c r="A30" s="10"/>
      <c r="B30" s="11"/>
      <c r="C30" s="11"/>
      <c r="D30" s="32"/>
      <c r="E30" s="70" t="str">
        <f>IF(E24&lt;E26,"Employer Match is NOT Maximized",".")</f>
        <v>.</v>
      </c>
      <c r="G30" s="65"/>
      <c r="H30" s="65"/>
      <c r="I30" s="65"/>
      <c r="J30" s="66" t="s">
        <v>48</v>
      </c>
      <c r="K30" s="68">
        <f>IF(((K29+E29)/E20/(1+E25))&gt;E26,(K29+E29)/E20-E26*E25,((K29+E29)/E20/(1+E25)))</f>
        <v>0.1321619297729183</v>
      </c>
      <c r="M30" s="78" t="s">
        <v>99</v>
      </c>
    </row>
    <row r="31" spans="1:13" ht="14" x14ac:dyDescent="0.25">
      <c r="B31" s="75"/>
      <c r="C31" s="75"/>
      <c r="D31" s="76"/>
      <c r="E31" s="77"/>
      <c r="H31" s="65"/>
      <c r="I31" s="65"/>
      <c r="J31" s="66" t="s">
        <v>100</v>
      </c>
      <c r="K31" s="82">
        <f>K29/12</f>
        <v>5886.4771909167321</v>
      </c>
    </row>
    <row r="32" spans="1:13" x14ac:dyDescent="0.25">
      <c r="J32" s="69"/>
      <c r="M32" s="78" t="s">
        <v>63</v>
      </c>
    </row>
    <row r="33" spans="1:13" x14ac:dyDescent="0.25">
      <c r="J33" s="69"/>
      <c r="M33" s="78" t="s">
        <v>64</v>
      </c>
    </row>
    <row r="34" spans="1:13" x14ac:dyDescent="0.25">
      <c r="M34" s="78" t="s">
        <v>65</v>
      </c>
    </row>
    <row r="36" spans="1:13" x14ac:dyDescent="0.25">
      <c r="J36" s="1"/>
    </row>
    <row r="37" spans="1:13" x14ac:dyDescent="0.25">
      <c r="J37" s="1"/>
    </row>
    <row r="38" spans="1:13" x14ac:dyDescent="0.25">
      <c r="J38" s="1"/>
    </row>
    <row r="39" spans="1:13" x14ac:dyDescent="0.25">
      <c r="J39" s="1"/>
    </row>
    <row r="40" spans="1:13" x14ac:dyDescent="0.25">
      <c r="J40" s="1"/>
    </row>
    <row r="41" spans="1:13" x14ac:dyDescent="0.25">
      <c r="D41" s="60" t="s">
        <v>55</v>
      </c>
      <c r="E41" s="60" t="str">
        <f>IFERROR("Goal: Saving "&amp;ROUND(K30*100,2)&amp;"% of Salary","Table Not Applicable")</f>
        <v>Goal: Saving 13.22% of Salary</v>
      </c>
      <c r="J41" s="1"/>
    </row>
    <row r="42" spans="1:13" x14ac:dyDescent="0.25">
      <c r="D42" s="60" t="s">
        <v>56</v>
      </c>
      <c r="E42" s="60" t="str">
        <f>IF(E8=E9,"No Accumulation Phase","Current: Saving "&amp;ROUND(E24*100,2)&amp;"% of Salary")</f>
        <v>Current: Saving 1.5% of Salary</v>
      </c>
      <c r="J42" s="1"/>
    </row>
    <row r="43" spans="1:13" ht="14" x14ac:dyDescent="0.3">
      <c r="A43" s="60"/>
      <c r="B43" s="60"/>
      <c r="C43" s="60"/>
      <c r="D43" s="61" t="s">
        <v>7</v>
      </c>
      <c r="E43" s="62">
        <v>1</v>
      </c>
      <c r="J43" s="1"/>
    </row>
    <row r="44" spans="1:13" ht="14" x14ac:dyDescent="0.3">
      <c r="A44" s="60"/>
      <c r="B44" s="60"/>
      <c r="C44" s="60"/>
      <c r="D44" s="61" t="s">
        <v>21</v>
      </c>
      <c r="E44" s="62">
        <v>1</v>
      </c>
      <c r="J44" s="1"/>
    </row>
    <row r="45" spans="1:13" x14ac:dyDescent="0.25">
      <c r="J45" s="1"/>
    </row>
    <row r="46" spans="1:13" x14ac:dyDescent="0.25">
      <c r="J46" s="1"/>
      <c r="K46" s="41" t="s">
        <v>29</v>
      </c>
    </row>
    <row r="47" spans="1:13" ht="26" thickBot="1" x14ac:dyDescent="0.3">
      <c r="A47" s="3" t="str">
        <f>IFERROR("Table Based on "&amp;TEXT(K30,"0.00%")&amp;" Salary Contribution Scenario","Table Not Applicable")</f>
        <v>Table Based on 13.22% Salary Contribution Scenario</v>
      </c>
      <c r="F47" s="15"/>
      <c r="G47" s="15" t="s">
        <v>26</v>
      </c>
      <c r="H47" s="43" t="s">
        <v>34</v>
      </c>
      <c r="I47" s="33" t="s">
        <v>18</v>
      </c>
      <c r="J47" s="43" t="s">
        <v>76</v>
      </c>
      <c r="K47" s="16" t="s">
        <v>0</v>
      </c>
    </row>
    <row r="48" spans="1:13" ht="15" customHeight="1" thickBot="1" x14ac:dyDescent="0.3">
      <c r="A48" s="15" t="s">
        <v>3</v>
      </c>
      <c r="B48" s="15" t="s">
        <v>4</v>
      </c>
      <c r="C48" s="15" t="s">
        <v>8</v>
      </c>
      <c r="D48" s="15" t="s">
        <v>20</v>
      </c>
      <c r="E48" s="15" t="s">
        <v>6</v>
      </c>
      <c r="F48" s="13"/>
      <c r="G48" s="13"/>
      <c r="H48" s="13"/>
      <c r="I48" s="12"/>
      <c r="J48" s="12"/>
      <c r="K48" s="14">
        <f>$K$13</f>
        <v>0</v>
      </c>
    </row>
    <row r="49" spans="1:13" x14ac:dyDescent="0.25">
      <c r="A49" s="12"/>
      <c r="B49" s="12"/>
      <c r="C49" s="12"/>
      <c r="D49" s="13"/>
      <c r="E49" s="13"/>
      <c r="F49" s="7" t="str">
        <f t="shared" ref="F49:F80" si="0">IF(ISERROR(A50),NA(),"")</f>
        <v/>
      </c>
      <c r="G49" s="7">
        <f t="shared" ref="G49:G80" si="1">IF(ISERROR(A50),NA(),IF(A50&lt;=$E$11,MIN($E$25*E50,$E$26*$E$25*D50),0))</f>
        <v>7200</v>
      </c>
      <c r="H49" s="7">
        <f t="shared" ref="H49:H80" si="2">IF(ISERROR(A50),NA(),IF(ISERROR(B50),0,IF(AND(B50&gt;=$K$18,B50&lt;($K$18+$K$21)),$K$19*(1+$K$20)^(B50-$K$18),0)))</f>
        <v>0</v>
      </c>
      <c r="I49" s="7">
        <f t="shared" ref="I49:I80" si="3">IF(ISERROR(A50),NA(),IF(B50&gt;=$E$9,D50-H49,0))</f>
        <v>0</v>
      </c>
      <c r="J49" s="8">
        <f t="shared" ref="J49:J80" si="4">IF(ISERROR(A50),NA(),FV(C50/$E$43,$E$43,-(E50+G49)/$E$43,-(K48-I49*$E$44),0)-(K48+E50+G49-I49*$E$44))</f>
        <v>-4.3655745685100555E-11</v>
      </c>
      <c r="K49" s="8">
        <f t="shared" ref="K49:K80" si="5">IF(ISERROR(A50),NA(),K48+E50+G49+J49-I49)</f>
        <v>70637.726291000741</v>
      </c>
      <c r="M49" s="44"/>
    </row>
    <row r="50" spans="1:13" x14ac:dyDescent="0.25">
      <c r="A50" s="4">
        <f>IF($E$8&gt;=$E$9,NA(),IF(A49&lt;($E$9-$E$8)+$E$10,A49+1,NA()))</f>
        <v>1</v>
      </c>
      <c r="B50" s="4">
        <f t="shared" ref="B50:B113" si="6">IF(ISERROR(A50),NA(),$E$8+A50-1)</f>
        <v>52</v>
      </c>
      <c r="C50" s="5">
        <f t="shared" ref="C50:C113" si="7">IF(ISERROR(A50),NA(),IF(B50&lt;$E$9,$E$14,$E$15))</f>
        <v>7.4999999999999997E-2</v>
      </c>
      <c r="D50" s="6">
        <f>IF(E8&gt;=E9,K8,E20)</f>
        <v>480000</v>
      </c>
      <c r="E50" s="7">
        <f t="shared" ref="E50:E113" si="8">IF(ISERROR(A50),NA(),IF(B50=$E$9-1,$K$25,0)+IF(A50&lt;=$E$11,$K$30*D50,0))</f>
        <v>63437.726291000785</v>
      </c>
      <c r="F50" s="7" t="str">
        <f t="shared" si="0"/>
        <v/>
      </c>
      <c r="G50" s="7">
        <f t="shared" si="1"/>
        <v>7560</v>
      </c>
      <c r="H50" s="7">
        <f t="shared" si="2"/>
        <v>0</v>
      </c>
      <c r="I50" s="7">
        <f t="shared" si="3"/>
        <v>0</v>
      </c>
      <c r="J50" s="8">
        <f t="shared" si="4"/>
        <v>5297.8294718249817</v>
      </c>
      <c r="K50" s="8">
        <f t="shared" si="5"/>
        <v>150105.16836837656</v>
      </c>
      <c r="M50" s="44"/>
    </row>
    <row r="51" spans="1:13" x14ac:dyDescent="0.25">
      <c r="A51" s="4">
        <f t="shared" ref="A51:A114" si="9">IF($E$8&gt;=$E$9,NA(),IF(A50&lt;($E$9-$E$8)+$E$10,A50+1,NA()))</f>
        <v>2</v>
      </c>
      <c r="B51" s="4">
        <f t="shared" si="6"/>
        <v>53</v>
      </c>
      <c r="C51" s="5">
        <f t="shared" si="7"/>
        <v>7.4999999999999997E-2</v>
      </c>
      <c r="D51" s="7">
        <f t="shared" ref="D51:D82" si="10">IF(ISERROR(A51),NA(),IF(B51&gt;=$E$9,$K$9*(1+$E$16)^(B51-$E$9),(1+$E$21)*D50))</f>
        <v>504000</v>
      </c>
      <c r="E51" s="7">
        <f t="shared" si="8"/>
        <v>66609.612605550821</v>
      </c>
      <c r="F51" s="7" t="str">
        <f t="shared" si="0"/>
        <v/>
      </c>
      <c r="G51" s="7">
        <f t="shared" si="1"/>
        <v>7938</v>
      </c>
      <c r="H51" s="7">
        <f t="shared" si="2"/>
        <v>0</v>
      </c>
      <c r="I51" s="7">
        <f t="shared" si="3"/>
        <v>0</v>
      </c>
      <c r="J51" s="8">
        <f t="shared" si="4"/>
        <v>11257.887627628195</v>
      </c>
      <c r="K51" s="8">
        <f t="shared" si="5"/>
        <v>239241.14923183311</v>
      </c>
      <c r="M51" s="44"/>
    </row>
    <row r="52" spans="1:13" x14ac:dyDescent="0.25">
      <c r="A52" s="4">
        <f t="shared" si="9"/>
        <v>3</v>
      </c>
      <c r="B52" s="4">
        <f t="shared" si="6"/>
        <v>54</v>
      </c>
      <c r="C52" s="5">
        <f t="shared" si="7"/>
        <v>7.4999999999999997E-2</v>
      </c>
      <c r="D52" s="7">
        <f t="shared" si="10"/>
        <v>529200</v>
      </c>
      <c r="E52" s="7">
        <f t="shared" si="8"/>
        <v>69940.093235828361</v>
      </c>
      <c r="F52" s="7" t="str">
        <f t="shared" si="0"/>
        <v/>
      </c>
      <c r="G52" s="7">
        <f t="shared" si="1"/>
        <v>8334.9</v>
      </c>
      <c r="H52" s="7">
        <f t="shared" si="2"/>
        <v>0</v>
      </c>
      <c r="I52" s="7">
        <f t="shared" si="3"/>
        <v>0</v>
      </c>
      <c r="J52" s="8">
        <f t="shared" si="4"/>
        <v>17943.086192387389</v>
      </c>
      <c r="K52" s="8">
        <f t="shared" si="5"/>
        <v>338956.23332184029</v>
      </c>
      <c r="M52" s="44"/>
    </row>
    <row r="53" spans="1:13" x14ac:dyDescent="0.25">
      <c r="A53" s="4">
        <f t="shared" si="9"/>
        <v>4</v>
      </c>
      <c r="B53" s="4">
        <f t="shared" si="6"/>
        <v>55</v>
      </c>
      <c r="C53" s="5">
        <f t="shared" si="7"/>
        <v>7.4999999999999997E-2</v>
      </c>
      <c r="D53" s="7">
        <f t="shared" si="10"/>
        <v>555660</v>
      </c>
      <c r="E53" s="7">
        <f t="shared" si="8"/>
        <v>73437.09789761978</v>
      </c>
      <c r="F53" s="7" t="str">
        <f t="shared" si="0"/>
        <v/>
      </c>
      <c r="G53" s="7">
        <f t="shared" si="1"/>
        <v>8751.6450000000004</v>
      </c>
      <c r="H53" s="7">
        <f t="shared" si="2"/>
        <v>0</v>
      </c>
      <c r="I53" s="7">
        <f t="shared" si="3"/>
        <v>0</v>
      </c>
      <c r="J53" s="8">
        <f t="shared" si="4"/>
        <v>25421.717499137972</v>
      </c>
      <c r="K53" s="8">
        <f t="shared" si="5"/>
        <v>450238.54861347907</v>
      </c>
      <c r="M53" s="44"/>
    </row>
    <row r="54" spans="1:13" x14ac:dyDescent="0.25">
      <c r="A54" s="4">
        <f t="shared" si="9"/>
        <v>5</v>
      </c>
      <c r="B54" s="4">
        <f t="shared" si="6"/>
        <v>56</v>
      </c>
      <c r="C54" s="5">
        <f t="shared" si="7"/>
        <v>7.4999999999999997E-2</v>
      </c>
      <c r="D54" s="7">
        <f t="shared" si="10"/>
        <v>583443</v>
      </c>
      <c r="E54" s="7">
        <f t="shared" si="8"/>
        <v>77108.952792500771</v>
      </c>
      <c r="F54" s="7" t="str">
        <f t="shared" si="0"/>
        <v/>
      </c>
      <c r="G54" s="7">
        <f t="shared" si="1"/>
        <v>9189.2272499999999</v>
      </c>
      <c r="H54" s="7">
        <f t="shared" si="2"/>
        <v>0</v>
      </c>
      <c r="I54" s="7">
        <f t="shared" si="3"/>
        <v>0</v>
      </c>
      <c r="J54" s="8">
        <f t="shared" si="4"/>
        <v>33767.891146010836</v>
      </c>
      <c r="K54" s="8">
        <f t="shared" si="5"/>
        <v>574160.06744161574</v>
      </c>
      <c r="M54" s="44"/>
    </row>
    <row r="55" spans="1:13" x14ac:dyDescent="0.25">
      <c r="A55" s="4">
        <f t="shared" si="9"/>
        <v>6</v>
      </c>
      <c r="B55" s="4">
        <f t="shared" si="6"/>
        <v>57</v>
      </c>
      <c r="C55" s="5">
        <f t="shared" si="7"/>
        <v>7.4999999999999997E-2</v>
      </c>
      <c r="D55" s="7">
        <f t="shared" si="10"/>
        <v>612615.15</v>
      </c>
      <c r="E55" s="7">
        <f t="shared" si="8"/>
        <v>80964.400432125811</v>
      </c>
      <c r="F55" s="7" t="str">
        <f t="shared" si="0"/>
        <v/>
      </c>
      <c r="G55" s="7">
        <f t="shared" si="1"/>
        <v>9648.6886125000001</v>
      </c>
      <c r="H55" s="7">
        <f t="shared" si="2"/>
        <v>0</v>
      </c>
      <c r="I55" s="7">
        <f t="shared" si="3"/>
        <v>0</v>
      </c>
      <c r="J55" s="8">
        <f t="shared" si="4"/>
        <v>43062.005058121169</v>
      </c>
      <c r="K55" s="8">
        <f t="shared" si="5"/>
        <v>711883.38156596897</v>
      </c>
      <c r="M55" s="44"/>
    </row>
    <row r="56" spans="1:13" x14ac:dyDescent="0.25">
      <c r="A56" s="4">
        <f t="shared" si="9"/>
        <v>7</v>
      </c>
      <c r="B56" s="4">
        <f t="shared" si="6"/>
        <v>58</v>
      </c>
      <c r="C56" s="5">
        <f t="shared" si="7"/>
        <v>7.4999999999999997E-2</v>
      </c>
      <c r="D56" s="7">
        <f t="shared" si="10"/>
        <v>643245.90750000009</v>
      </c>
      <c r="E56" s="7">
        <f t="shared" si="8"/>
        <v>85012.620453732117</v>
      </c>
      <c r="F56" s="7" t="str">
        <f t="shared" si="0"/>
        <v/>
      </c>
      <c r="G56" s="7">
        <f t="shared" si="1"/>
        <v>10131.123043125001</v>
      </c>
      <c r="H56" s="7">
        <f t="shared" si="2"/>
        <v>0</v>
      </c>
      <c r="I56" s="7">
        <f t="shared" si="3"/>
        <v>0</v>
      </c>
      <c r="J56" s="8">
        <f t="shared" si="4"/>
        <v>53391.253617447568</v>
      </c>
      <c r="K56" s="8">
        <f t="shared" si="5"/>
        <v>864669.00970296026</v>
      </c>
      <c r="M56" s="44"/>
    </row>
    <row r="57" spans="1:13" x14ac:dyDescent="0.25">
      <c r="A57" s="4">
        <f t="shared" si="9"/>
        <v>8</v>
      </c>
      <c r="B57" s="4">
        <f t="shared" si="6"/>
        <v>59</v>
      </c>
      <c r="C57" s="5">
        <f t="shared" si="7"/>
        <v>7.4999999999999997E-2</v>
      </c>
      <c r="D57" s="7">
        <f t="shared" si="10"/>
        <v>675408.20287500008</v>
      </c>
      <c r="E57" s="7">
        <f t="shared" si="8"/>
        <v>89263.251476418707</v>
      </c>
      <c r="F57" s="7" t="str">
        <f t="shared" si="0"/>
        <v/>
      </c>
      <c r="G57" s="7">
        <f t="shared" si="1"/>
        <v>0</v>
      </c>
      <c r="H57" s="7">
        <f t="shared" si="2"/>
        <v>0</v>
      </c>
      <c r="I57" s="7">
        <f t="shared" si="3"/>
        <v>61585.607268237334</v>
      </c>
      <c r="J57" s="8">
        <f t="shared" si="4"/>
        <v>40154.170121736242</v>
      </c>
      <c r="K57" s="8">
        <f t="shared" si="5"/>
        <v>843237.57255645911</v>
      </c>
      <c r="M57" s="44"/>
    </row>
    <row r="58" spans="1:13" x14ac:dyDescent="0.25">
      <c r="A58" s="4">
        <f t="shared" si="9"/>
        <v>9</v>
      </c>
      <c r="B58" s="4">
        <f t="shared" si="6"/>
        <v>60</v>
      </c>
      <c r="C58" s="5">
        <f t="shared" si="7"/>
        <v>0.05</v>
      </c>
      <c r="D58" s="7">
        <f t="shared" si="10"/>
        <v>61585.607268237334</v>
      </c>
      <c r="E58" s="7">
        <f t="shared" si="8"/>
        <v>0</v>
      </c>
      <c r="F58" s="7" t="str">
        <f t="shared" si="0"/>
        <v/>
      </c>
      <c r="G58" s="7">
        <f t="shared" si="1"/>
        <v>0</v>
      </c>
      <c r="H58" s="7">
        <f t="shared" si="2"/>
        <v>0</v>
      </c>
      <c r="I58" s="7">
        <f t="shared" si="3"/>
        <v>64049.031558966832</v>
      </c>
      <c r="J58" s="8">
        <f t="shared" si="4"/>
        <v>38959.427049874677</v>
      </c>
      <c r="K58" s="8">
        <f t="shared" si="5"/>
        <v>818147.96804736694</v>
      </c>
      <c r="M58" s="44"/>
    </row>
    <row r="59" spans="1:13" x14ac:dyDescent="0.25">
      <c r="A59" s="4">
        <f t="shared" si="9"/>
        <v>10</v>
      </c>
      <c r="B59" s="4">
        <f t="shared" si="6"/>
        <v>61</v>
      </c>
      <c r="C59" s="5">
        <f t="shared" si="7"/>
        <v>0.05</v>
      </c>
      <c r="D59" s="7">
        <f t="shared" si="10"/>
        <v>64049.031558966832</v>
      </c>
      <c r="E59" s="7">
        <f t="shared" si="8"/>
        <v>0</v>
      </c>
      <c r="F59" s="7" t="str">
        <f t="shared" si="0"/>
        <v/>
      </c>
      <c r="G59" s="7">
        <f t="shared" si="1"/>
        <v>0</v>
      </c>
      <c r="H59" s="7">
        <f t="shared" si="2"/>
        <v>0</v>
      </c>
      <c r="I59" s="7">
        <f t="shared" si="3"/>
        <v>66610.992821325504</v>
      </c>
      <c r="J59" s="8">
        <f t="shared" si="4"/>
        <v>37576.84876130207</v>
      </c>
      <c r="K59" s="8">
        <f t="shared" si="5"/>
        <v>789113.82398734346</v>
      </c>
      <c r="M59" s="44"/>
    </row>
    <row r="60" spans="1:13" x14ac:dyDescent="0.25">
      <c r="A60" s="4">
        <f t="shared" si="9"/>
        <v>11</v>
      </c>
      <c r="B60" s="4">
        <f t="shared" si="6"/>
        <v>62</v>
      </c>
      <c r="C60" s="5">
        <f t="shared" si="7"/>
        <v>0.05</v>
      </c>
      <c r="D60" s="7">
        <f t="shared" si="10"/>
        <v>66610.992821325504</v>
      </c>
      <c r="E60" s="7">
        <f t="shared" si="8"/>
        <v>0</v>
      </c>
      <c r="F60" s="7" t="str">
        <f t="shared" si="0"/>
        <v/>
      </c>
      <c r="G60" s="7">
        <f t="shared" si="1"/>
        <v>0</v>
      </c>
      <c r="H60" s="7">
        <f t="shared" si="2"/>
        <v>0</v>
      </c>
      <c r="I60" s="7">
        <f t="shared" si="3"/>
        <v>69275.43253417853</v>
      </c>
      <c r="J60" s="8">
        <f t="shared" si="4"/>
        <v>35991.919572658255</v>
      </c>
      <c r="K60" s="8">
        <f t="shared" si="5"/>
        <v>755830.31102582323</v>
      </c>
      <c r="M60" s="44"/>
    </row>
    <row r="61" spans="1:13" x14ac:dyDescent="0.25">
      <c r="A61" s="4">
        <f t="shared" si="9"/>
        <v>12</v>
      </c>
      <c r="B61" s="4">
        <f t="shared" si="6"/>
        <v>63</v>
      </c>
      <c r="C61" s="5">
        <f t="shared" si="7"/>
        <v>0.05</v>
      </c>
      <c r="D61" s="7">
        <f t="shared" si="10"/>
        <v>69275.43253417853</v>
      </c>
      <c r="E61" s="7">
        <f t="shared" si="8"/>
        <v>0</v>
      </c>
      <c r="F61" s="7" t="str">
        <f t="shared" si="0"/>
        <v/>
      </c>
      <c r="G61" s="7">
        <f t="shared" si="1"/>
        <v>0</v>
      </c>
      <c r="H61" s="7">
        <f t="shared" si="2"/>
        <v>0</v>
      </c>
      <c r="I61" s="7">
        <f t="shared" si="3"/>
        <v>72046.449835545674</v>
      </c>
      <c r="J61" s="8">
        <f t="shared" si="4"/>
        <v>34189.193059513927</v>
      </c>
      <c r="K61" s="8">
        <f t="shared" si="5"/>
        <v>717973.05424979143</v>
      </c>
      <c r="M61" s="44"/>
    </row>
    <row r="62" spans="1:13" x14ac:dyDescent="0.25">
      <c r="A62" s="4">
        <f t="shared" si="9"/>
        <v>13</v>
      </c>
      <c r="B62" s="4">
        <f t="shared" si="6"/>
        <v>64</v>
      </c>
      <c r="C62" s="5">
        <f t="shared" si="7"/>
        <v>0.05</v>
      </c>
      <c r="D62" s="7">
        <f t="shared" si="10"/>
        <v>72046.449835545674</v>
      </c>
      <c r="E62" s="7">
        <f t="shared" si="8"/>
        <v>0</v>
      </c>
      <c r="F62" s="7" t="str">
        <f t="shared" si="0"/>
        <v/>
      </c>
      <c r="G62" s="7">
        <f t="shared" si="1"/>
        <v>0</v>
      </c>
      <c r="H62" s="7">
        <f t="shared" si="2"/>
        <v>0</v>
      </c>
      <c r="I62" s="7">
        <f t="shared" si="3"/>
        <v>74928.307828967503</v>
      </c>
      <c r="J62" s="8">
        <f t="shared" si="4"/>
        <v>32152.237321041175</v>
      </c>
      <c r="K62" s="8">
        <f t="shared" si="5"/>
        <v>675196.98374186514</v>
      </c>
      <c r="M62" s="44"/>
    </row>
    <row r="63" spans="1:13" x14ac:dyDescent="0.25">
      <c r="A63" s="4">
        <f t="shared" si="9"/>
        <v>14</v>
      </c>
      <c r="B63" s="4">
        <f t="shared" si="6"/>
        <v>65</v>
      </c>
      <c r="C63" s="5">
        <f t="shared" si="7"/>
        <v>0.05</v>
      </c>
      <c r="D63" s="7">
        <f t="shared" si="10"/>
        <v>74928.307828967503</v>
      </c>
      <c r="E63" s="7">
        <f t="shared" si="8"/>
        <v>0</v>
      </c>
      <c r="F63" s="7" t="str">
        <f t="shared" si="0"/>
        <v/>
      </c>
      <c r="G63" s="7">
        <f t="shared" si="1"/>
        <v>0</v>
      </c>
      <c r="H63" s="7">
        <f t="shared" si="2"/>
        <v>0</v>
      </c>
      <c r="I63" s="7">
        <f t="shared" si="3"/>
        <v>77925.440142126216</v>
      </c>
      <c r="J63" s="8">
        <f t="shared" si="4"/>
        <v>29863.577179986984</v>
      </c>
      <c r="K63" s="8">
        <f t="shared" si="5"/>
        <v>627135.12077972596</v>
      </c>
      <c r="M63" s="44"/>
    </row>
    <row r="64" spans="1:13" x14ac:dyDescent="0.25">
      <c r="A64" s="4">
        <f t="shared" si="9"/>
        <v>15</v>
      </c>
      <c r="B64" s="4">
        <f t="shared" si="6"/>
        <v>66</v>
      </c>
      <c r="C64" s="5">
        <f t="shared" si="7"/>
        <v>0.05</v>
      </c>
      <c r="D64" s="7">
        <f t="shared" si="10"/>
        <v>77925.440142126216</v>
      </c>
      <c r="E64" s="7">
        <f t="shared" si="8"/>
        <v>0</v>
      </c>
      <c r="F64" s="7" t="str">
        <f t="shared" si="0"/>
        <v/>
      </c>
      <c r="G64" s="7">
        <f t="shared" si="1"/>
        <v>0</v>
      </c>
      <c r="H64" s="7">
        <f t="shared" si="2"/>
        <v>0</v>
      </c>
      <c r="I64" s="7">
        <f t="shared" si="3"/>
        <v>81042.457747811248</v>
      </c>
      <c r="J64" s="8">
        <f t="shared" si="4"/>
        <v>27304.633151595714</v>
      </c>
      <c r="K64" s="8">
        <f t="shared" si="5"/>
        <v>573397.29618351045</v>
      </c>
      <c r="M64" s="44"/>
    </row>
    <row r="65" spans="1:13" x14ac:dyDescent="0.25">
      <c r="A65" s="4">
        <f t="shared" si="9"/>
        <v>16</v>
      </c>
      <c r="B65" s="4">
        <f t="shared" si="6"/>
        <v>67</v>
      </c>
      <c r="C65" s="5">
        <f t="shared" si="7"/>
        <v>0.05</v>
      </c>
      <c r="D65" s="7">
        <f t="shared" si="10"/>
        <v>81042.457747811248</v>
      </c>
      <c r="E65" s="7">
        <f t="shared" si="8"/>
        <v>0</v>
      </c>
      <c r="F65" s="7" t="str">
        <f t="shared" si="0"/>
        <v/>
      </c>
      <c r="G65" s="7">
        <f t="shared" si="1"/>
        <v>0</v>
      </c>
      <c r="H65" s="7">
        <f t="shared" si="2"/>
        <v>0</v>
      </c>
      <c r="I65" s="7">
        <f t="shared" si="3"/>
        <v>84284.156057723711</v>
      </c>
      <c r="J65" s="8">
        <f t="shared" si="4"/>
        <v>24455.657006289344</v>
      </c>
      <c r="K65" s="8">
        <f t="shared" si="5"/>
        <v>513568.79713207611</v>
      </c>
      <c r="M65" s="44"/>
    </row>
    <row r="66" spans="1:13" x14ac:dyDescent="0.25">
      <c r="A66" s="4">
        <f t="shared" si="9"/>
        <v>17</v>
      </c>
      <c r="B66" s="4">
        <f t="shared" si="6"/>
        <v>68</v>
      </c>
      <c r="C66" s="5">
        <f t="shared" si="7"/>
        <v>0.05</v>
      </c>
      <c r="D66" s="7">
        <f t="shared" si="10"/>
        <v>84284.156057723711</v>
      </c>
      <c r="E66" s="7">
        <f t="shared" si="8"/>
        <v>0</v>
      </c>
      <c r="F66" s="7" t="str">
        <f t="shared" si="0"/>
        <v/>
      </c>
      <c r="G66" s="7">
        <f t="shared" si="1"/>
        <v>0</v>
      </c>
      <c r="H66" s="7">
        <f t="shared" si="2"/>
        <v>0</v>
      </c>
      <c r="I66" s="7">
        <f t="shared" si="3"/>
        <v>87655.522300032666</v>
      </c>
      <c r="J66" s="8">
        <f t="shared" si="4"/>
        <v>21295.663741602213</v>
      </c>
      <c r="K66" s="8">
        <f t="shared" si="5"/>
        <v>447208.93857364566</v>
      </c>
      <c r="M66" s="44"/>
    </row>
    <row r="67" spans="1:13" x14ac:dyDescent="0.25">
      <c r="A67" s="4">
        <f t="shared" si="9"/>
        <v>18</v>
      </c>
      <c r="B67" s="4">
        <f t="shared" si="6"/>
        <v>69</v>
      </c>
      <c r="C67" s="5">
        <f t="shared" si="7"/>
        <v>0.05</v>
      </c>
      <c r="D67" s="7">
        <f t="shared" si="10"/>
        <v>87655.522300032666</v>
      </c>
      <c r="E67" s="7">
        <f t="shared" si="8"/>
        <v>0</v>
      </c>
      <c r="F67" s="7" t="str">
        <f t="shared" si="0"/>
        <v/>
      </c>
      <c r="G67" s="7">
        <f t="shared" si="1"/>
        <v>0</v>
      </c>
      <c r="H67" s="7">
        <f t="shared" si="2"/>
        <v>0</v>
      </c>
      <c r="I67" s="7">
        <f t="shared" si="3"/>
        <v>91161.743192033973</v>
      </c>
      <c r="J67" s="8">
        <f t="shared" si="4"/>
        <v>17802.359769080591</v>
      </c>
      <c r="K67" s="8">
        <f t="shared" si="5"/>
        <v>373849.55515069229</v>
      </c>
      <c r="M67" s="44"/>
    </row>
    <row r="68" spans="1:13" x14ac:dyDescent="0.25">
      <c r="A68" s="4">
        <f t="shared" si="9"/>
        <v>19</v>
      </c>
      <c r="B68" s="4">
        <f t="shared" si="6"/>
        <v>70</v>
      </c>
      <c r="C68" s="5">
        <f t="shared" si="7"/>
        <v>0.05</v>
      </c>
      <c r="D68" s="7">
        <f t="shared" si="10"/>
        <v>91161.743192033973</v>
      </c>
      <c r="E68" s="7">
        <f t="shared" si="8"/>
        <v>0</v>
      </c>
      <c r="F68" s="7" t="str">
        <f t="shared" si="0"/>
        <v/>
      </c>
      <c r="G68" s="7">
        <f t="shared" si="1"/>
        <v>0</v>
      </c>
      <c r="H68" s="7">
        <f t="shared" si="2"/>
        <v>0</v>
      </c>
      <c r="I68" s="7">
        <f t="shared" si="3"/>
        <v>94808.212919715326</v>
      </c>
      <c r="J68" s="8">
        <f t="shared" si="4"/>
        <v>13952.067111548851</v>
      </c>
      <c r="K68" s="8">
        <f t="shared" si="5"/>
        <v>292993.40934252582</v>
      </c>
      <c r="M68" s="44"/>
    </row>
    <row r="69" spans="1:13" x14ac:dyDescent="0.25">
      <c r="A69" s="4">
        <f t="shared" si="9"/>
        <v>20</v>
      </c>
      <c r="B69" s="4">
        <f t="shared" si="6"/>
        <v>71</v>
      </c>
      <c r="C69" s="5">
        <f t="shared" si="7"/>
        <v>0.05</v>
      </c>
      <c r="D69" s="7">
        <f t="shared" si="10"/>
        <v>94808.212919715326</v>
      </c>
      <c r="E69" s="7">
        <f t="shared" si="8"/>
        <v>0</v>
      </c>
      <c r="F69" s="7" t="str">
        <f t="shared" si="0"/>
        <v/>
      </c>
      <c r="G69" s="7">
        <f t="shared" si="1"/>
        <v>0</v>
      </c>
      <c r="H69" s="7">
        <f t="shared" si="2"/>
        <v>0</v>
      </c>
      <c r="I69" s="7">
        <f t="shared" si="3"/>
        <v>98600.541436503961</v>
      </c>
      <c r="J69" s="8">
        <f t="shared" si="4"/>
        <v>9719.6433953011001</v>
      </c>
      <c r="K69" s="8">
        <f t="shared" si="5"/>
        <v>204112.51130132299</v>
      </c>
      <c r="M69" s="44"/>
    </row>
    <row r="70" spans="1:13" x14ac:dyDescent="0.25">
      <c r="A70" s="4">
        <f t="shared" si="9"/>
        <v>21</v>
      </c>
      <c r="B70" s="4">
        <f t="shared" si="6"/>
        <v>72</v>
      </c>
      <c r="C70" s="5">
        <f t="shared" si="7"/>
        <v>0.05</v>
      </c>
      <c r="D70" s="7">
        <f t="shared" si="10"/>
        <v>98600.541436503961</v>
      </c>
      <c r="E70" s="7">
        <f t="shared" si="8"/>
        <v>0</v>
      </c>
      <c r="F70" s="7" t="str">
        <f t="shared" si="0"/>
        <v/>
      </c>
      <c r="G70" s="7">
        <f t="shared" si="1"/>
        <v>0</v>
      </c>
      <c r="H70" s="7">
        <f t="shared" si="2"/>
        <v>0</v>
      </c>
      <c r="I70" s="7">
        <f t="shared" si="3"/>
        <v>102544.56309396413</v>
      </c>
      <c r="J70" s="8">
        <f t="shared" si="4"/>
        <v>5078.3974103679502</v>
      </c>
      <c r="K70" s="8">
        <f t="shared" si="5"/>
        <v>106646.34561772679</v>
      </c>
      <c r="M70" s="44"/>
    </row>
    <row r="71" spans="1:13" x14ac:dyDescent="0.25">
      <c r="A71" s="4">
        <f t="shared" si="9"/>
        <v>22</v>
      </c>
      <c r="B71" s="4">
        <f t="shared" si="6"/>
        <v>73</v>
      </c>
      <c r="C71" s="5">
        <f t="shared" si="7"/>
        <v>0.05</v>
      </c>
      <c r="D71" s="7">
        <f t="shared" si="10"/>
        <v>102544.56309396413</v>
      </c>
      <c r="E71" s="7">
        <f t="shared" si="8"/>
        <v>0</v>
      </c>
      <c r="F71" s="7" t="str">
        <f t="shared" si="0"/>
        <v/>
      </c>
      <c r="G71" s="7">
        <f t="shared" si="1"/>
        <v>0</v>
      </c>
      <c r="H71" s="7">
        <f t="shared" si="2"/>
        <v>0</v>
      </c>
      <c r="I71" s="7">
        <f t="shared" si="3"/>
        <v>106646.34561772269</v>
      </c>
      <c r="J71" s="8">
        <f t="shared" si="4"/>
        <v>2.0518200471997294E-10</v>
      </c>
      <c r="K71" s="8">
        <f t="shared" si="5"/>
        <v>4.3073669075965881E-9</v>
      </c>
      <c r="M71" s="44"/>
    </row>
    <row r="72" spans="1:13" x14ac:dyDescent="0.25">
      <c r="A72" s="4">
        <f t="shared" si="9"/>
        <v>23</v>
      </c>
      <c r="B72" s="4">
        <f t="shared" si="6"/>
        <v>74</v>
      </c>
      <c r="C72" s="5">
        <f t="shared" si="7"/>
        <v>0.05</v>
      </c>
      <c r="D72" s="7">
        <f t="shared" si="10"/>
        <v>106646.34561772269</v>
      </c>
      <c r="E72" s="7">
        <f t="shared" si="8"/>
        <v>0</v>
      </c>
      <c r="F72" s="7" t="e">
        <f t="shared" si="0"/>
        <v>#N/A</v>
      </c>
      <c r="G72" s="7" t="e">
        <f t="shared" si="1"/>
        <v>#N/A</v>
      </c>
      <c r="H72" s="7" t="e">
        <f t="shared" si="2"/>
        <v>#N/A</v>
      </c>
      <c r="I72" s="7" t="e">
        <f t="shared" si="3"/>
        <v>#N/A</v>
      </c>
      <c r="J72" s="8" t="e">
        <f t="shared" si="4"/>
        <v>#N/A</v>
      </c>
      <c r="K72" s="8" t="e">
        <f t="shared" si="5"/>
        <v>#N/A</v>
      </c>
      <c r="M72" s="44"/>
    </row>
    <row r="73" spans="1:13" x14ac:dyDescent="0.25">
      <c r="A73" s="4" t="e">
        <f t="shared" si="9"/>
        <v>#N/A</v>
      </c>
      <c r="B73" s="4" t="e">
        <f t="shared" si="6"/>
        <v>#N/A</v>
      </c>
      <c r="C73" s="5" t="e">
        <f t="shared" si="7"/>
        <v>#N/A</v>
      </c>
      <c r="D73" s="7" t="e">
        <f t="shared" si="10"/>
        <v>#N/A</v>
      </c>
      <c r="E73" s="7" t="e">
        <f t="shared" si="8"/>
        <v>#N/A</v>
      </c>
      <c r="F73" s="7" t="e">
        <f t="shared" si="0"/>
        <v>#N/A</v>
      </c>
      <c r="G73" s="7" t="e">
        <f t="shared" si="1"/>
        <v>#N/A</v>
      </c>
      <c r="H73" s="7" t="e">
        <f t="shared" si="2"/>
        <v>#N/A</v>
      </c>
      <c r="I73" s="7" t="e">
        <f t="shared" si="3"/>
        <v>#N/A</v>
      </c>
      <c r="J73" s="8" t="e">
        <f t="shared" si="4"/>
        <v>#N/A</v>
      </c>
      <c r="K73" s="8" t="e">
        <f t="shared" si="5"/>
        <v>#N/A</v>
      </c>
      <c r="M73" s="44"/>
    </row>
    <row r="74" spans="1:13" x14ac:dyDescent="0.25">
      <c r="A74" s="4" t="e">
        <f t="shared" si="9"/>
        <v>#N/A</v>
      </c>
      <c r="B74" s="4" t="e">
        <f t="shared" si="6"/>
        <v>#N/A</v>
      </c>
      <c r="C74" s="5" t="e">
        <f t="shared" si="7"/>
        <v>#N/A</v>
      </c>
      <c r="D74" s="7" t="e">
        <f t="shared" si="10"/>
        <v>#N/A</v>
      </c>
      <c r="E74" s="7" t="e">
        <f t="shared" si="8"/>
        <v>#N/A</v>
      </c>
      <c r="F74" s="7" t="e">
        <f t="shared" si="0"/>
        <v>#N/A</v>
      </c>
      <c r="G74" s="7" t="e">
        <f t="shared" si="1"/>
        <v>#N/A</v>
      </c>
      <c r="H74" s="7" t="e">
        <f t="shared" si="2"/>
        <v>#N/A</v>
      </c>
      <c r="I74" s="7" t="e">
        <f t="shared" si="3"/>
        <v>#N/A</v>
      </c>
      <c r="J74" s="8" t="e">
        <f t="shared" si="4"/>
        <v>#N/A</v>
      </c>
      <c r="K74" s="8" t="e">
        <f t="shared" si="5"/>
        <v>#N/A</v>
      </c>
      <c r="M74" s="44"/>
    </row>
    <row r="75" spans="1:13" x14ac:dyDescent="0.25">
      <c r="A75" s="4" t="e">
        <f t="shared" si="9"/>
        <v>#N/A</v>
      </c>
      <c r="B75" s="4" t="e">
        <f t="shared" si="6"/>
        <v>#N/A</v>
      </c>
      <c r="C75" s="5" t="e">
        <f t="shared" si="7"/>
        <v>#N/A</v>
      </c>
      <c r="D75" s="7" t="e">
        <f t="shared" si="10"/>
        <v>#N/A</v>
      </c>
      <c r="E75" s="7" t="e">
        <f t="shared" si="8"/>
        <v>#N/A</v>
      </c>
      <c r="F75" s="7" t="e">
        <f t="shared" si="0"/>
        <v>#N/A</v>
      </c>
      <c r="G75" s="7" t="e">
        <f t="shared" si="1"/>
        <v>#N/A</v>
      </c>
      <c r="H75" s="7" t="e">
        <f t="shared" si="2"/>
        <v>#N/A</v>
      </c>
      <c r="I75" s="7" t="e">
        <f t="shared" si="3"/>
        <v>#N/A</v>
      </c>
      <c r="J75" s="8" t="e">
        <f t="shared" si="4"/>
        <v>#N/A</v>
      </c>
      <c r="K75" s="8" t="e">
        <f t="shared" si="5"/>
        <v>#N/A</v>
      </c>
      <c r="M75" s="44"/>
    </row>
    <row r="76" spans="1:13" x14ac:dyDescent="0.25">
      <c r="A76" s="4" t="e">
        <f t="shared" si="9"/>
        <v>#N/A</v>
      </c>
      <c r="B76" s="4" t="e">
        <f t="shared" si="6"/>
        <v>#N/A</v>
      </c>
      <c r="C76" s="5" t="e">
        <f t="shared" si="7"/>
        <v>#N/A</v>
      </c>
      <c r="D76" s="7" t="e">
        <f t="shared" si="10"/>
        <v>#N/A</v>
      </c>
      <c r="E76" s="7" t="e">
        <f t="shared" si="8"/>
        <v>#N/A</v>
      </c>
      <c r="F76" s="7" t="e">
        <f t="shared" si="0"/>
        <v>#N/A</v>
      </c>
      <c r="G76" s="7" t="e">
        <f t="shared" si="1"/>
        <v>#N/A</v>
      </c>
      <c r="H76" s="7" t="e">
        <f t="shared" si="2"/>
        <v>#N/A</v>
      </c>
      <c r="I76" s="7" t="e">
        <f t="shared" si="3"/>
        <v>#N/A</v>
      </c>
      <c r="J76" s="8" t="e">
        <f t="shared" si="4"/>
        <v>#N/A</v>
      </c>
      <c r="K76" s="8" t="e">
        <f t="shared" si="5"/>
        <v>#N/A</v>
      </c>
      <c r="M76" s="44"/>
    </row>
    <row r="77" spans="1:13" x14ac:dyDescent="0.25">
      <c r="A77" s="4" t="e">
        <f t="shared" si="9"/>
        <v>#N/A</v>
      </c>
      <c r="B77" s="4" t="e">
        <f t="shared" si="6"/>
        <v>#N/A</v>
      </c>
      <c r="C77" s="5" t="e">
        <f t="shared" si="7"/>
        <v>#N/A</v>
      </c>
      <c r="D77" s="7" t="e">
        <f t="shared" si="10"/>
        <v>#N/A</v>
      </c>
      <c r="E77" s="7" t="e">
        <f t="shared" si="8"/>
        <v>#N/A</v>
      </c>
      <c r="F77" s="7" t="e">
        <f t="shared" si="0"/>
        <v>#N/A</v>
      </c>
      <c r="G77" s="7" t="e">
        <f t="shared" si="1"/>
        <v>#N/A</v>
      </c>
      <c r="H77" s="7" t="e">
        <f t="shared" si="2"/>
        <v>#N/A</v>
      </c>
      <c r="I77" s="7" t="e">
        <f t="shared" si="3"/>
        <v>#N/A</v>
      </c>
      <c r="J77" s="8" t="e">
        <f t="shared" si="4"/>
        <v>#N/A</v>
      </c>
      <c r="K77" s="8" t="e">
        <f t="shared" si="5"/>
        <v>#N/A</v>
      </c>
      <c r="M77" s="44"/>
    </row>
    <row r="78" spans="1:13" x14ac:dyDescent="0.25">
      <c r="A78" s="4" t="e">
        <f t="shared" si="9"/>
        <v>#N/A</v>
      </c>
      <c r="B78" s="4" t="e">
        <f t="shared" si="6"/>
        <v>#N/A</v>
      </c>
      <c r="C78" s="5" t="e">
        <f t="shared" si="7"/>
        <v>#N/A</v>
      </c>
      <c r="D78" s="7" t="e">
        <f t="shared" si="10"/>
        <v>#N/A</v>
      </c>
      <c r="E78" s="7" t="e">
        <f t="shared" si="8"/>
        <v>#N/A</v>
      </c>
      <c r="F78" s="7" t="e">
        <f t="shared" si="0"/>
        <v>#N/A</v>
      </c>
      <c r="G78" s="7" t="e">
        <f t="shared" si="1"/>
        <v>#N/A</v>
      </c>
      <c r="H78" s="7" t="e">
        <f t="shared" si="2"/>
        <v>#N/A</v>
      </c>
      <c r="I78" s="7" t="e">
        <f t="shared" si="3"/>
        <v>#N/A</v>
      </c>
      <c r="J78" s="8" t="e">
        <f t="shared" si="4"/>
        <v>#N/A</v>
      </c>
      <c r="K78" s="8" t="e">
        <f t="shared" si="5"/>
        <v>#N/A</v>
      </c>
      <c r="M78" s="44"/>
    </row>
    <row r="79" spans="1:13" x14ac:dyDescent="0.25">
      <c r="A79" s="4" t="e">
        <f t="shared" si="9"/>
        <v>#N/A</v>
      </c>
      <c r="B79" s="4" t="e">
        <f t="shared" si="6"/>
        <v>#N/A</v>
      </c>
      <c r="C79" s="5" t="e">
        <f t="shared" si="7"/>
        <v>#N/A</v>
      </c>
      <c r="D79" s="7" t="e">
        <f t="shared" si="10"/>
        <v>#N/A</v>
      </c>
      <c r="E79" s="7" t="e">
        <f t="shared" si="8"/>
        <v>#N/A</v>
      </c>
      <c r="F79" s="7" t="e">
        <f t="shared" si="0"/>
        <v>#N/A</v>
      </c>
      <c r="G79" s="7" t="e">
        <f t="shared" si="1"/>
        <v>#N/A</v>
      </c>
      <c r="H79" s="7" t="e">
        <f t="shared" si="2"/>
        <v>#N/A</v>
      </c>
      <c r="I79" s="7" t="e">
        <f t="shared" si="3"/>
        <v>#N/A</v>
      </c>
      <c r="J79" s="8" t="e">
        <f t="shared" si="4"/>
        <v>#N/A</v>
      </c>
      <c r="K79" s="8" t="e">
        <f t="shared" si="5"/>
        <v>#N/A</v>
      </c>
      <c r="M79" s="44"/>
    </row>
    <row r="80" spans="1:13" x14ac:dyDescent="0.25">
      <c r="A80" s="4" t="e">
        <f t="shared" si="9"/>
        <v>#N/A</v>
      </c>
      <c r="B80" s="4" t="e">
        <f t="shared" si="6"/>
        <v>#N/A</v>
      </c>
      <c r="C80" s="5" t="e">
        <f t="shared" si="7"/>
        <v>#N/A</v>
      </c>
      <c r="D80" s="7" t="e">
        <f t="shared" si="10"/>
        <v>#N/A</v>
      </c>
      <c r="E80" s="7" t="e">
        <f t="shared" si="8"/>
        <v>#N/A</v>
      </c>
      <c r="F80" s="7" t="e">
        <f t="shared" si="0"/>
        <v>#N/A</v>
      </c>
      <c r="G80" s="7" t="e">
        <f t="shared" si="1"/>
        <v>#N/A</v>
      </c>
      <c r="H80" s="7" t="e">
        <f t="shared" si="2"/>
        <v>#N/A</v>
      </c>
      <c r="I80" s="7" t="e">
        <f t="shared" si="3"/>
        <v>#N/A</v>
      </c>
      <c r="J80" s="8" t="e">
        <f t="shared" si="4"/>
        <v>#N/A</v>
      </c>
      <c r="K80" s="8" t="e">
        <f t="shared" si="5"/>
        <v>#N/A</v>
      </c>
      <c r="M80" s="44"/>
    </row>
    <row r="81" spans="1:13" x14ac:dyDescent="0.25">
      <c r="A81" s="4" t="e">
        <f t="shared" si="9"/>
        <v>#N/A</v>
      </c>
      <c r="B81" s="4" t="e">
        <f t="shared" si="6"/>
        <v>#N/A</v>
      </c>
      <c r="C81" s="5" t="e">
        <f t="shared" si="7"/>
        <v>#N/A</v>
      </c>
      <c r="D81" s="7" t="e">
        <f t="shared" si="10"/>
        <v>#N/A</v>
      </c>
      <c r="E81" s="7" t="e">
        <f t="shared" si="8"/>
        <v>#N/A</v>
      </c>
      <c r="F81" s="7" t="e">
        <f t="shared" ref="F81:F112" si="11">IF(ISERROR(A82),NA(),"")</f>
        <v>#N/A</v>
      </c>
      <c r="G81" s="7" t="e">
        <f t="shared" ref="G81:G112" si="12">IF(ISERROR(A82),NA(),IF(A82&lt;=$E$11,MIN($E$25*E82,$E$26*$E$25*D82),0))</f>
        <v>#N/A</v>
      </c>
      <c r="H81" s="7" t="e">
        <f t="shared" ref="H81:H112" si="13">IF(ISERROR(A82),NA(),IF(ISERROR(B82),0,IF(AND(B82&gt;=$K$18,B82&lt;($K$18+$K$21)),$K$19*(1+$K$20)^(B82-$K$18),0)))</f>
        <v>#N/A</v>
      </c>
      <c r="I81" s="7" t="e">
        <f t="shared" ref="I81:I112" si="14">IF(ISERROR(A82),NA(),IF(B82&gt;=$E$9,D82-H81,0))</f>
        <v>#N/A</v>
      </c>
      <c r="J81" s="8" t="e">
        <f t="shared" ref="J81:J112" si="15">IF(ISERROR(A82),NA(),FV(C82/$E$43,$E$43,-(E82+G81)/$E$43,-(K80-I81*$E$44),0)-(K80+E82+G81-I81*$E$44))</f>
        <v>#N/A</v>
      </c>
      <c r="K81" s="8" t="e">
        <f t="shared" ref="K81:K112" si="16">IF(ISERROR(A82),NA(),K80+E82+G81+J81-I81)</f>
        <v>#N/A</v>
      </c>
      <c r="M81" s="44"/>
    </row>
    <row r="82" spans="1:13" x14ac:dyDescent="0.25">
      <c r="A82" s="4" t="e">
        <f t="shared" si="9"/>
        <v>#N/A</v>
      </c>
      <c r="B82" s="4" t="e">
        <f t="shared" si="6"/>
        <v>#N/A</v>
      </c>
      <c r="C82" s="5" t="e">
        <f t="shared" si="7"/>
        <v>#N/A</v>
      </c>
      <c r="D82" s="7" t="e">
        <f t="shared" si="10"/>
        <v>#N/A</v>
      </c>
      <c r="E82" s="7" t="e">
        <f t="shared" si="8"/>
        <v>#N/A</v>
      </c>
      <c r="F82" s="7" t="e">
        <f t="shared" si="11"/>
        <v>#N/A</v>
      </c>
      <c r="G82" s="7" t="e">
        <f t="shared" si="12"/>
        <v>#N/A</v>
      </c>
      <c r="H82" s="7" t="e">
        <f t="shared" si="13"/>
        <v>#N/A</v>
      </c>
      <c r="I82" s="7" t="e">
        <f t="shared" si="14"/>
        <v>#N/A</v>
      </c>
      <c r="J82" s="8" t="e">
        <f t="shared" si="15"/>
        <v>#N/A</v>
      </c>
      <c r="K82" s="8" t="e">
        <f t="shared" si="16"/>
        <v>#N/A</v>
      </c>
      <c r="M82" s="44"/>
    </row>
    <row r="83" spans="1:13" x14ac:dyDescent="0.25">
      <c r="A83" s="4" t="e">
        <f t="shared" si="9"/>
        <v>#N/A</v>
      </c>
      <c r="B83" s="4" t="e">
        <f t="shared" si="6"/>
        <v>#N/A</v>
      </c>
      <c r="C83" s="5" t="e">
        <f t="shared" si="7"/>
        <v>#N/A</v>
      </c>
      <c r="D83" s="7" t="e">
        <f t="shared" ref="D83:D114" si="17">IF(ISERROR(A83),NA(),IF(B83&gt;=$E$9,$K$9*(1+$E$16)^(B83-$E$9),(1+$E$21)*D82))</f>
        <v>#N/A</v>
      </c>
      <c r="E83" s="7" t="e">
        <f t="shared" si="8"/>
        <v>#N/A</v>
      </c>
      <c r="F83" s="7" t="e">
        <f t="shared" si="11"/>
        <v>#N/A</v>
      </c>
      <c r="G83" s="7" t="e">
        <f t="shared" si="12"/>
        <v>#N/A</v>
      </c>
      <c r="H83" s="7" t="e">
        <f t="shared" si="13"/>
        <v>#N/A</v>
      </c>
      <c r="I83" s="7" t="e">
        <f t="shared" si="14"/>
        <v>#N/A</v>
      </c>
      <c r="J83" s="8" t="e">
        <f t="shared" si="15"/>
        <v>#N/A</v>
      </c>
      <c r="K83" s="8" t="e">
        <f t="shared" si="16"/>
        <v>#N/A</v>
      </c>
      <c r="M83" s="44"/>
    </row>
    <row r="84" spans="1:13" x14ac:dyDescent="0.25">
      <c r="A84" s="4" t="e">
        <f t="shared" si="9"/>
        <v>#N/A</v>
      </c>
      <c r="B84" s="4" t="e">
        <f t="shared" si="6"/>
        <v>#N/A</v>
      </c>
      <c r="C84" s="5" t="e">
        <f t="shared" si="7"/>
        <v>#N/A</v>
      </c>
      <c r="D84" s="7" t="e">
        <f t="shared" si="17"/>
        <v>#N/A</v>
      </c>
      <c r="E84" s="7" t="e">
        <f t="shared" si="8"/>
        <v>#N/A</v>
      </c>
      <c r="F84" s="7" t="e">
        <f t="shared" si="11"/>
        <v>#N/A</v>
      </c>
      <c r="G84" s="7" t="e">
        <f t="shared" si="12"/>
        <v>#N/A</v>
      </c>
      <c r="H84" s="7" t="e">
        <f t="shared" si="13"/>
        <v>#N/A</v>
      </c>
      <c r="I84" s="7" t="e">
        <f t="shared" si="14"/>
        <v>#N/A</v>
      </c>
      <c r="J84" s="8" t="e">
        <f t="shared" si="15"/>
        <v>#N/A</v>
      </c>
      <c r="K84" s="8" t="e">
        <f t="shared" si="16"/>
        <v>#N/A</v>
      </c>
      <c r="M84" s="44"/>
    </row>
    <row r="85" spans="1:13" x14ac:dyDescent="0.25">
      <c r="A85" s="4" t="e">
        <f t="shared" si="9"/>
        <v>#N/A</v>
      </c>
      <c r="B85" s="4" t="e">
        <f t="shared" si="6"/>
        <v>#N/A</v>
      </c>
      <c r="C85" s="5" t="e">
        <f t="shared" si="7"/>
        <v>#N/A</v>
      </c>
      <c r="D85" s="7" t="e">
        <f t="shared" si="17"/>
        <v>#N/A</v>
      </c>
      <c r="E85" s="7" t="e">
        <f t="shared" si="8"/>
        <v>#N/A</v>
      </c>
      <c r="F85" s="7" t="e">
        <f t="shared" si="11"/>
        <v>#N/A</v>
      </c>
      <c r="G85" s="7" t="e">
        <f t="shared" si="12"/>
        <v>#N/A</v>
      </c>
      <c r="H85" s="7" t="e">
        <f t="shared" si="13"/>
        <v>#N/A</v>
      </c>
      <c r="I85" s="7" t="e">
        <f t="shared" si="14"/>
        <v>#N/A</v>
      </c>
      <c r="J85" s="8" t="e">
        <f t="shared" si="15"/>
        <v>#N/A</v>
      </c>
      <c r="K85" s="8" t="e">
        <f t="shared" si="16"/>
        <v>#N/A</v>
      </c>
      <c r="M85" s="44"/>
    </row>
    <row r="86" spans="1:13" x14ac:dyDescent="0.25">
      <c r="A86" s="4" t="e">
        <f t="shared" si="9"/>
        <v>#N/A</v>
      </c>
      <c r="B86" s="4" t="e">
        <f t="shared" si="6"/>
        <v>#N/A</v>
      </c>
      <c r="C86" s="5" t="e">
        <f t="shared" si="7"/>
        <v>#N/A</v>
      </c>
      <c r="D86" s="7" t="e">
        <f t="shared" si="17"/>
        <v>#N/A</v>
      </c>
      <c r="E86" s="7" t="e">
        <f t="shared" si="8"/>
        <v>#N/A</v>
      </c>
      <c r="F86" s="7" t="e">
        <f t="shared" si="11"/>
        <v>#N/A</v>
      </c>
      <c r="G86" s="7" t="e">
        <f t="shared" si="12"/>
        <v>#N/A</v>
      </c>
      <c r="H86" s="7" t="e">
        <f t="shared" si="13"/>
        <v>#N/A</v>
      </c>
      <c r="I86" s="7" t="e">
        <f t="shared" si="14"/>
        <v>#N/A</v>
      </c>
      <c r="J86" s="8" t="e">
        <f t="shared" si="15"/>
        <v>#N/A</v>
      </c>
      <c r="K86" s="8" t="e">
        <f t="shared" si="16"/>
        <v>#N/A</v>
      </c>
      <c r="M86" s="44"/>
    </row>
    <row r="87" spans="1:13" x14ac:dyDescent="0.25">
      <c r="A87" s="4" t="e">
        <f t="shared" si="9"/>
        <v>#N/A</v>
      </c>
      <c r="B87" s="4" t="e">
        <f t="shared" si="6"/>
        <v>#N/A</v>
      </c>
      <c r="C87" s="5" t="e">
        <f t="shared" si="7"/>
        <v>#N/A</v>
      </c>
      <c r="D87" s="7" t="e">
        <f t="shared" si="17"/>
        <v>#N/A</v>
      </c>
      <c r="E87" s="7" t="e">
        <f t="shared" si="8"/>
        <v>#N/A</v>
      </c>
      <c r="F87" s="7" t="e">
        <f t="shared" si="11"/>
        <v>#N/A</v>
      </c>
      <c r="G87" s="7" t="e">
        <f t="shared" si="12"/>
        <v>#N/A</v>
      </c>
      <c r="H87" s="7" t="e">
        <f t="shared" si="13"/>
        <v>#N/A</v>
      </c>
      <c r="I87" s="7" t="e">
        <f t="shared" si="14"/>
        <v>#N/A</v>
      </c>
      <c r="J87" s="8" t="e">
        <f t="shared" si="15"/>
        <v>#N/A</v>
      </c>
      <c r="K87" s="8" t="e">
        <f t="shared" si="16"/>
        <v>#N/A</v>
      </c>
      <c r="M87" s="44"/>
    </row>
    <row r="88" spans="1:13" x14ac:dyDescent="0.25">
      <c r="A88" s="4" t="e">
        <f t="shared" si="9"/>
        <v>#N/A</v>
      </c>
      <c r="B88" s="4" t="e">
        <f t="shared" si="6"/>
        <v>#N/A</v>
      </c>
      <c r="C88" s="5" t="e">
        <f t="shared" si="7"/>
        <v>#N/A</v>
      </c>
      <c r="D88" s="7" t="e">
        <f t="shared" si="17"/>
        <v>#N/A</v>
      </c>
      <c r="E88" s="7" t="e">
        <f t="shared" si="8"/>
        <v>#N/A</v>
      </c>
      <c r="F88" s="7" t="e">
        <f t="shared" si="11"/>
        <v>#N/A</v>
      </c>
      <c r="G88" s="7" t="e">
        <f t="shared" si="12"/>
        <v>#N/A</v>
      </c>
      <c r="H88" s="7" t="e">
        <f t="shared" si="13"/>
        <v>#N/A</v>
      </c>
      <c r="I88" s="7" t="e">
        <f t="shared" si="14"/>
        <v>#N/A</v>
      </c>
      <c r="J88" s="8" t="e">
        <f t="shared" si="15"/>
        <v>#N/A</v>
      </c>
      <c r="K88" s="8" t="e">
        <f t="shared" si="16"/>
        <v>#N/A</v>
      </c>
      <c r="M88" s="44"/>
    </row>
    <row r="89" spans="1:13" x14ac:dyDescent="0.25">
      <c r="A89" s="4" t="e">
        <f t="shared" si="9"/>
        <v>#N/A</v>
      </c>
      <c r="B89" s="4" t="e">
        <f t="shared" si="6"/>
        <v>#N/A</v>
      </c>
      <c r="C89" s="5" t="e">
        <f t="shared" si="7"/>
        <v>#N/A</v>
      </c>
      <c r="D89" s="7" t="e">
        <f t="shared" si="17"/>
        <v>#N/A</v>
      </c>
      <c r="E89" s="7" t="e">
        <f t="shared" si="8"/>
        <v>#N/A</v>
      </c>
      <c r="F89" s="7" t="e">
        <f t="shared" si="11"/>
        <v>#N/A</v>
      </c>
      <c r="G89" s="7" t="e">
        <f t="shared" si="12"/>
        <v>#N/A</v>
      </c>
      <c r="H89" s="7" t="e">
        <f t="shared" si="13"/>
        <v>#N/A</v>
      </c>
      <c r="I89" s="7" t="e">
        <f t="shared" si="14"/>
        <v>#N/A</v>
      </c>
      <c r="J89" s="8" t="e">
        <f t="shared" si="15"/>
        <v>#N/A</v>
      </c>
      <c r="K89" s="8" t="e">
        <f t="shared" si="16"/>
        <v>#N/A</v>
      </c>
      <c r="M89" s="44"/>
    </row>
    <row r="90" spans="1:13" x14ac:dyDescent="0.25">
      <c r="A90" s="4" t="e">
        <f t="shared" si="9"/>
        <v>#N/A</v>
      </c>
      <c r="B90" s="4" t="e">
        <f t="shared" si="6"/>
        <v>#N/A</v>
      </c>
      <c r="C90" s="5" t="e">
        <f t="shared" si="7"/>
        <v>#N/A</v>
      </c>
      <c r="D90" s="7" t="e">
        <f t="shared" si="17"/>
        <v>#N/A</v>
      </c>
      <c r="E90" s="7" t="e">
        <f t="shared" si="8"/>
        <v>#N/A</v>
      </c>
      <c r="F90" s="7" t="e">
        <f t="shared" si="11"/>
        <v>#N/A</v>
      </c>
      <c r="G90" s="7" t="e">
        <f t="shared" si="12"/>
        <v>#N/A</v>
      </c>
      <c r="H90" s="7" t="e">
        <f t="shared" si="13"/>
        <v>#N/A</v>
      </c>
      <c r="I90" s="7" t="e">
        <f t="shared" si="14"/>
        <v>#N/A</v>
      </c>
      <c r="J90" s="8" t="e">
        <f t="shared" si="15"/>
        <v>#N/A</v>
      </c>
      <c r="K90" s="8" t="e">
        <f t="shared" si="16"/>
        <v>#N/A</v>
      </c>
      <c r="M90" s="44"/>
    </row>
    <row r="91" spans="1:13" x14ac:dyDescent="0.25">
      <c r="A91" s="4" t="e">
        <f t="shared" si="9"/>
        <v>#N/A</v>
      </c>
      <c r="B91" s="4" t="e">
        <f t="shared" si="6"/>
        <v>#N/A</v>
      </c>
      <c r="C91" s="5" t="e">
        <f t="shared" si="7"/>
        <v>#N/A</v>
      </c>
      <c r="D91" s="7" t="e">
        <f t="shared" si="17"/>
        <v>#N/A</v>
      </c>
      <c r="E91" s="7" t="e">
        <f t="shared" si="8"/>
        <v>#N/A</v>
      </c>
      <c r="F91" s="7" t="e">
        <f t="shared" si="11"/>
        <v>#N/A</v>
      </c>
      <c r="G91" s="7" t="e">
        <f t="shared" si="12"/>
        <v>#N/A</v>
      </c>
      <c r="H91" s="7" t="e">
        <f t="shared" si="13"/>
        <v>#N/A</v>
      </c>
      <c r="I91" s="7" t="e">
        <f t="shared" si="14"/>
        <v>#N/A</v>
      </c>
      <c r="J91" s="8" t="e">
        <f t="shared" si="15"/>
        <v>#N/A</v>
      </c>
      <c r="K91" s="8" t="e">
        <f t="shared" si="16"/>
        <v>#N/A</v>
      </c>
      <c r="M91" s="44"/>
    </row>
    <row r="92" spans="1:13" x14ac:dyDescent="0.25">
      <c r="A92" s="4" t="e">
        <f t="shared" si="9"/>
        <v>#N/A</v>
      </c>
      <c r="B92" s="4" t="e">
        <f t="shared" si="6"/>
        <v>#N/A</v>
      </c>
      <c r="C92" s="5" t="e">
        <f t="shared" si="7"/>
        <v>#N/A</v>
      </c>
      <c r="D92" s="7" t="e">
        <f t="shared" si="17"/>
        <v>#N/A</v>
      </c>
      <c r="E92" s="7" t="e">
        <f t="shared" si="8"/>
        <v>#N/A</v>
      </c>
      <c r="F92" s="7" t="e">
        <f t="shared" si="11"/>
        <v>#N/A</v>
      </c>
      <c r="G92" s="7" t="e">
        <f t="shared" si="12"/>
        <v>#N/A</v>
      </c>
      <c r="H92" s="7" t="e">
        <f t="shared" si="13"/>
        <v>#N/A</v>
      </c>
      <c r="I92" s="7" t="e">
        <f t="shared" si="14"/>
        <v>#N/A</v>
      </c>
      <c r="J92" s="8" t="e">
        <f t="shared" si="15"/>
        <v>#N/A</v>
      </c>
      <c r="K92" s="8" t="e">
        <f t="shared" si="16"/>
        <v>#N/A</v>
      </c>
      <c r="M92" s="44"/>
    </row>
    <row r="93" spans="1:13" x14ac:dyDescent="0.25">
      <c r="A93" s="4" t="e">
        <f t="shared" si="9"/>
        <v>#N/A</v>
      </c>
      <c r="B93" s="4" t="e">
        <f t="shared" si="6"/>
        <v>#N/A</v>
      </c>
      <c r="C93" s="5" t="e">
        <f t="shared" si="7"/>
        <v>#N/A</v>
      </c>
      <c r="D93" s="7" t="e">
        <f t="shared" si="17"/>
        <v>#N/A</v>
      </c>
      <c r="E93" s="7" t="e">
        <f t="shared" si="8"/>
        <v>#N/A</v>
      </c>
      <c r="F93" s="7" t="e">
        <f t="shared" si="11"/>
        <v>#N/A</v>
      </c>
      <c r="G93" s="7" t="e">
        <f t="shared" si="12"/>
        <v>#N/A</v>
      </c>
      <c r="H93" s="7" t="e">
        <f t="shared" si="13"/>
        <v>#N/A</v>
      </c>
      <c r="I93" s="7" t="e">
        <f t="shared" si="14"/>
        <v>#N/A</v>
      </c>
      <c r="J93" s="8" t="e">
        <f t="shared" si="15"/>
        <v>#N/A</v>
      </c>
      <c r="K93" s="8" t="e">
        <f t="shared" si="16"/>
        <v>#N/A</v>
      </c>
      <c r="M93" s="44"/>
    </row>
    <row r="94" spans="1:13" x14ac:dyDescent="0.25">
      <c r="A94" s="4" t="e">
        <f t="shared" si="9"/>
        <v>#N/A</v>
      </c>
      <c r="B94" s="4" t="e">
        <f t="shared" si="6"/>
        <v>#N/A</v>
      </c>
      <c r="C94" s="5" t="e">
        <f t="shared" si="7"/>
        <v>#N/A</v>
      </c>
      <c r="D94" s="7" t="e">
        <f t="shared" si="17"/>
        <v>#N/A</v>
      </c>
      <c r="E94" s="7" t="e">
        <f t="shared" si="8"/>
        <v>#N/A</v>
      </c>
      <c r="F94" s="7" t="e">
        <f t="shared" si="11"/>
        <v>#N/A</v>
      </c>
      <c r="G94" s="7" t="e">
        <f t="shared" si="12"/>
        <v>#N/A</v>
      </c>
      <c r="H94" s="7" t="e">
        <f t="shared" si="13"/>
        <v>#N/A</v>
      </c>
      <c r="I94" s="7" t="e">
        <f t="shared" si="14"/>
        <v>#N/A</v>
      </c>
      <c r="J94" s="8" t="e">
        <f t="shared" si="15"/>
        <v>#N/A</v>
      </c>
      <c r="K94" s="8" t="e">
        <f t="shared" si="16"/>
        <v>#N/A</v>
      </c>
      <c r="M94" s="44"/>
    </row>
    <row r="95" spans="1:13" x14ac:dyDescent="0.25">
      <c r="A95" s="4" t="e">
        <f t="shared" si="9"/>
        <v>#N/A</v>
      </c>
      <c r="B95" s="4" t="e">
        <f t="shared" si="6"/>
        <v>#N/A</v>
      </c>
      <c r="C95" s="5" t="e">
        <f t="shared" si="7"/>
        <v>#N/A</v>
      </c>
      <c r="D95" s="7" t="e">
        <f t="shared" si="17"/>
        <v>#N/A</v>
      </c>
      <c r="E95" s="7" t="e">
        <f t="shared" si="8"/>
        <v>#N/A</v>
      </c>
      <c r="F95" s="7" t="e">
        <f t="shared" si="11"/>
        <v>#N/A</v>
      </c>
      <c r="G95" s="7" t="e">
        <f t="shared" si="12"/>
        <v>#N/A</v>
      </c>
      <c r="H95" s="7" t="e">
        <f t="shared" si="13"/>
        <v>#N/A</v>
      </c>
      <c r="I95" s="7" t="e">
        <f t="shared" si="14"/>
        <v>#N/A</v>
      </c>
      <c r="J95" s="8" t="e">
        <f t="shared" si="15"/>
        <v>#N/A</v>
      </c>
      <c r="K95" s="8" t="e">
        <f t="shared" si="16"/>
        <v>#N/A</v>
      </c>
      <c r="M95" s="44"/>
    </row>
    <row r="96" spans="1:13" x14ac:dyDescent="0.25">
      <c r="A96" s="4" t="e">
        <f t="shared" si="9"/>
        <v>#N/A</v>
      </c>
      <c r="B96" s="4" t="e">
        <f t="shared" si="6"/>
        <v>#N/A</v>
      </c>
      <c r="C96" s="5" t="e">
        <f t="shared" si="7"/>
        <v>#N/A</v>
      </c>
      <c r="D96" s="7" t="e">
        <f t="shared" si="17"/>
        <v>#N/A</v>
      </c>
      <c r="E96" s="7" t="e">
        <f t="shared" si="8"/>
        <v>#N/A</v>
      </c>
      <c r="F96" s="7" t="e">
        <f t="shared" si="11"/>
        <v>#N/A</v>
      </c>
      <c r="G96" s="7" t="e">
        <f t="shared" si="12"/>
        <v>#N/A</v>
      </c>
      <c r="H96" s="7" t="e">
        <f t="shared" si="13"/>
        <v>#N/A</v>
      </c>
      <c r="I96" s="7" t="e">
        <f t="shared" si="14"/>
        <v>#N/A</v>
      </c>
      <c r="J96" s="8" t="e">
        <f t="shared" si="15"/>
        <v>#N/A</v>
      </c>
      <c r="K96" s="8" t="e">
        <f t="shared" si="16"/>
        <v>#N/A</v>
      </c>
      <c r="M96" s="44"/>
    </row>
    <row r="97" spans="1:13" x14ac:dyDescent="0.25">
      <c r="A97" s="4" t="e">
        <f t="shared" si="9"/>
        <v>#N/A</v>
      </c>
      <c r="B97" s="4" t="e">
        <f t="shared" si="6"/>
        <v>#N/A</v>
      </c>
      <c r="C97" s="5" t="e">
        <f t="shared" si="7"/>
        <v>#N/A</v>
      </c>
      <c r="D97" s="7" t="e">
        <f t="shared" si="17"/>
        <v>#N/A</v>
      </c>
      <c r="E97" s="7" t="e">
        <f t="shared" si="8"/>
        <v>#N/A</v>
      </c>
      <c r="F97" s="7" t="e">
        <f t="shared" si="11"/>
        <v>#N/A</v>
      </c>
      <c r="G97" s="7" t="e">
        <f t="shared" si="12"/>
        <v>#N/A</v>
      </c>
      <c r="H97" s="7" t="e">
        <f t="shared" si="13"/>
        <v>#N/A</v>
      </c>
      <c r="I97" s="7" t="e">
        <f t="shared" si="14"/>
        <v>#N/A</v>
      </c>
      <c r="J97" s="8" t="e">
        <f t="shared" si="15"/>
        <v>#N/A</v>
      </c>
      <c r="K97" s="8" t="e">
        <f t="shared" si="16"/>
        <v>#N/A</v>
      </c>
      <c r="M97" s="44"/>
    </row>
    <row r="98" spans="1:13" x14ac:dyDescent="0.25">
      <c r="A98" s="4" t="e">
        <f t="shared" si="9"/>
        <v>#N/A</v>
      </c>
      <c r="B98" s="4" t="e">
        <f t="shared" si="6"/>
        <v>#N/A</v>
      </c>
      <c r="C98" s="5" t="e">
        <f t="shared" si="7"/>
        <v>#N/A</v>
      </c>
      <c r="D98" s="7" t="e">
        <f t="shared" si="17"/>
        <v>#N/A</v>
      </c>
      <c r="E98" s="7" t="e">
        <f t="shared" si="8"/>
        <v>#N/A</v>
      </c>
      <c r="F98" s="7" t="e">
        <f t="shared" si="11"/>
        <v>#N/A</v>
      </c>
      <c r="G98" s="7" t="e">
        <f t="shared" si="12"/>
        <v>#N/A</v>
      </c>
      <c r="H98" s="7" t="e">
        <f t="shared" si="13"/>
        <v>#N/A</v>
      </c>
      <c r="I98" s="7" t="e">
        <f t="shared" si="14"/>
        <v>#N/A</v>
      </c>
      <c r="J98" s="8" t="e">
        <f t="shared" si="15"/>
        <v>#N/A</v>
      </c>
      <c r="K98" s="8" t="e">
        <f t="shared" si="16"/>
        <v>#N/A</v>
      </c>
      <c r="M98" s="44"/>
    </row>
    <row r="99" spans="1:13" x14ac:dyDescent="0.25">
      <c r="A99" s="4" t="e">
        <f t="shared" si="9"/>
        <v>#N/A</v>
      </c>
      <c r="B99" s="4" t="e">
        <f t="shared" si="6"/>
        <v>#N/A</v>
      </c>
      <c r="C99" s="5" t="e">
        <f t="shared" si="7"/>
        <v>#N/A</v>
      </c>
      <c r="D99" s="7" t="e">
        <f t="shared" si="17"/>
        <v>#N/A</v>
      </c>
      <c r="E99" s="7" t="e">
        <f t="shared" si="8"/>
        <v>#N/A</v>
      </c>
      <c r="F99" s="7" t="e">
        <f t="shared" si="11"/>
        <v>#N/A</v>
      </c>
      <c r="G99" s="7" t="e">
        <f t="shared" si="12"/>
        <v>#N/A</v>
      </c>
      <c r="H99" s="7" t="e">
        <f t="shared" si="13"/>
        <v>#N/A</v>
      </c>
      <c r="I99" s="7" t="e">
        <f t="shared" si="14"/>
        <v>#N/A</v>
      </c>
      <c r="J99" s="8" t="e">
        <f t="shared" si="15"/>
        <v>#N/A</v>
      </c>
      <c r="K99" s="8" t="e">
        <f t="shared" si="16"/>
        <v>#N/A</v>
      </c>
      <c r="M99" s="44"/>
    </row>
    <row r="100" spans="1:13" x14ac:dyDescent="0.25">
      <c r="A100" s="4" t="e">
        <f t="shared" si="9"/>
        <v>#N/A</v>
      </c>
      <c r="B100" s="4" t="e">
        <f t="shared" si="6"/>
        <v>#N/A</v>
      </c>
      <c r="C100" s="5" t="e">
        <f t="shared" si="7"/>
        <v>#N/A</v>
      </c>
      <c r="D100" s="7" t="e">
        <f t="shared" si="17"/>
        <v>#N/A</v>
      </c>
      <c r="E100" s="7" t="e">
        <f t="shared" si="8"/>
        <v>#N/A</v>
      </c>
      <c r="F100" s="7" t="e">
        <f t="shared" si="11"/>
        <v>#N/A</v>
      </c>
      <c r="G100" s="7" t="e">
        <f t="shared" si="12"/>
        <v>#N/A</v>
      </c>
      <c r="H100" s="7" t="e">
        <f t="shared" si="13"/>
        <v>#N/A</v>
      </c>
      <c r="I100" s="7" t="e">
        <f t="shared" si="14"/>
        <v>#N/A</v>
      </c>
      <c r="J100" s="8" t="e">
        <f t="shared" si="15"/>
        <v>#N/A</v>
      </c>
      <c r="K100" s="8" t="e">
        <f t="shared" si="16"/>
        <v>#N/A</v>
      </c>
      <c r="M100" s="44"/>
    </row>
    <row r="101" spans="1:13" x14ac:dyDescent="0.25">
      <c r="A101" s="4" t="e">
        <f t="shared" si="9"/>
        <v>#N/A</v>
      </c>
      <c r="B101" s="4" t="e">
        <f t="shared" si="6"/>
        <v>#N/A</v>
      </c>
      <c r="C101" s="5" t="e">
        <f t="shared" si="7"/>
        <v>#N/A</v>
      </c>
      <c r="D101" s="7" t="e">
        <f t="shared" si="17"/>
        <v>#N/A</v>
      </c>
      <c r="E101" s="7" t="e">
        <f t="shared" si="8"/>
        <v>#N/A</v>
      </c>
      <c r="F101" s="7" t="e">
        <f t="shared" si="11"/>
        <v>#N/A</v>
      </c>
      <c r="G101" s="7" t="e">
        <f t="shared" si="12"/>
        <v>#N/A</v>
      </c>
      <c r="H101" s="7" t="e">
        <f t="shared" si="13"/>
        <v>#N/A</v>
      </c>
      <c r="I101" s="7" t="e">
        <f t="shared" si="14"/>
        <v>#N/A</v>
      </c>
      <c r="J101" s="8" t="e">
        <f t="shared" si="15"/>
        <v>#N/A</v>
      </c>
      <c r="K101" s="8" t="e">
        <f t="shared" si="16"/>
        <v>#N/A</v>
      </c>
      <c r="M101" s="44"/>
    </row>
    <row r="102" spans="1:13" x14ac:dyDescent="0.25">
      <c r="A102" s="4" t="e">
        <f t="shared" si="9"/>
        <v>#N/A</v>
      </c>
      <c r="B102" s="4" t="e">
        <f t="shared" si="6"/>
        <v>#N/A</v>
      </c>
      <c r="C102" s="5" t="e">
        <f t="shared" si="7"/>
        <v>#N/A</v>
      </c>
      <c r="D102" s="7" t="e">
        <f t="shared" si="17"/>
        <v>#N/A</v>
      </c>
      <c r="E102" s="7" t="e">
        <f t="shared" si="8"/>
        <v>#N/A</v>
      </c>
      <c r="F102" s="7" t="e">
        <f t="shared" si="11"/>
        <v>#N/A</v>
      </c>
      <c r="G102" s="7" t="e">
        <f t="shared" si="12"/>
        <v>#N/A</v>
      </c>
      <c r="H102" s="7" t="e">
        <f t="shared" si="13"/>
        <v>#N/A</v>
      </c>
      <c r="I102" s="7" t="e">
        <f t="shared" si="14"/>
        <v>#N/A</v>
      </c>
      <c r="J102" s="8" t="e">
        <f t="shared" si="15"/>
        <v>#N/A</v>
      </c>
      <c r="K102" s="8" t="e">
        <f t="shared" si="16"/>
        <v>#N/A</v>
      </c>
      <c r="M102" s="44"/>
    </row>
    <row r="103" spans="1:13" x14ac:dyDescent="0.25">
      <c r="A103" s="4" t="e">
        <f t="shared" si="9"/>
        <v>#N/A</v>
      </c>
      <c r="B103" s="4" t="e">
        <f t="shared" si="6"/>
        <v>#N/A</v>
      </c>
      <c r="C103" s="5" t="e">
        <f t="shared" si="7"/>
        <v>#N/A</v>
      </c>
      <c r="D103" s="7" t="e">
        <f t="shared" si="17"/>
        <v>#N/A</v>
      </c>
      <c r="E103" s="7" t="e">
        <f t="shared" si="8"/>
        <v>#N/A</v>
      </c>
      <c r="F103" s="7" t="e">
        <f t="shared" si="11"/>
        <v>#N/A</v>
      </c>
      <c r="G103" s="7" t="e">
        <f t="shared" si="12"/>
        <v>#N/A</v>
      </c>
      <c r="H103" s="7" t="e">
        <f t="shared" si="13"/>
        <v>#N/A</v>
      </c>
      <c r="I103" s="7" t="e">
        <f t="shared" si="14"/>
        <v>#N/A</v>
      </c>
      <c r="J103" s="8" t="e">
        <f t="shared" si="15"/>
        <v>#N/A</v>
      </c>
      <c r="K103" s="8" t="e">
        <f t="shared" si="16"/>
        <v>#N/A</v>
      </c>
      <c r="M103" s="44"/>
    </row>
    <row r="104" spans="1:13" x14ac:dyDescent="0.25">
      <c r="A104" s="4" t="e">
        <f t="shared" si="9"/>
        <v>#N/A</v>
      </c>
      <c r="B104" s="4" t="e">
        <f t="shared" si="6"/>
        <v>#N/A</v>
      </c>
      <c r="C104" s="5" t="e">
        <f t="shared" si="7"/>
        <v>#N/A</v>
      </c>
      <c r="D104" s="7" t="e">
        <f t="shared" si="17"/>
        <v>#N/A</v>
      </c>
      <c r="E104" s="7" t="e">
        <f t="shared" si="8"/>
        <v>#N/A</v>
      </c>
      <c r="F104" s="7" t="e">
        <f t="shared" si="11"/>
        <v>#N/A</v>
      </c>
      <c r="G104" s="7" t="e">
        <f t="shared" si="12"/>
        <v>#N/A</v>
      </c>
      <c r="H104" s="7" t="e">
        <f t="shared" si="13"/>
        <v>#N/A</v>
      </c>
      <c r="I104" s="7" t="e">
        <f t="shared" si="14"/>
        <v>#N/A</v>
      </c>
      <c r="J104" s="8" t="e">
        <f t="shared" si="15"/>
        <v>#N/A</v>
      </c>
      <c r="K104" s="8" t="e">
        <f t="shared" si="16"/>
        <v>#N/A</v>
      </c>
      <c r="M104" s="44"/>
    </row>
    <row r="105" spans="1:13" x14ac:dyDescent="0.25">
      <c r="A105" s="4" t="e">
        <f t="shared" si="9"/>
        <v>#N/A</v>
      </c>
      <c r="B105" s="4" t="e">
        <f t="shared" si="6"/>
        <v>#N/A</v>
      </c>
      <c r="C105" s="5" t="e">
        <f t="shared" si="7"/>
        <v>#N/A</v>
      </c>
      <c r="D105" s="7" t="e">
        <f t="shared" si="17"/>
        <v>#N/A</v>
      </c>
      <c r="E105" s="7" t="e">
        <f t="shared" si="8"/>
        <v>#N/A</v>
      </c>
      <c r="F105" s="7" t="e">
        <f t="shared" si="11"/>
        <v>#N/A</v>
      </c>
      <c r="G105" s="7" t="e">
        <f t="shared" si="12"/>
        <v>#N/A</v>
      </c>
      <c r="H105" s="7" t="e">
        <f t="shared" si="13"/>
        <v>#N/A</v>
      </c>
      <c r="I105" s="7" t="e">
        <f t="shared" si="14"/>
        <v>#N/A</v>
      </c>
      <c r="J105" s="8" t="e">
        <f t="shared" si="15"/>
        <v>#N/A</v>
      </c>
      <c r="K105" s="8" t="e">
        <f t="shared" si="16"/>
        <v>#N/A</v>
      </c>
      <c r="M105" s="44"/>
    </row>
    <row r="106" spans="1:13" x14ac:dyDescent="0.25">
      <c r="A106" s="4" t="e">
        <f t="shared" si="9"/>
        <v>#N/A</v>
      </c>
      <c r="B106" s="4" t="e">
        <f t="shared" si="6"/>
        <v>#N/A</v>
      </c>
      <c r="C106" s="5" t="e">
        <f t="shared" si="7"/>
        <v>#N/A</v>
      </c>
      <c r="D106" s="7" t="e">
        <f t="shared" si="17"/>
        <v>#N/A</v>
      </c>
      <c r="E106" s="7" t="e">
        <f t="shared" si="8"/>
        <v>#N/A</v>
      </c>
      <c r="F106" s="7" t="e">
        <f t="shared" si="11"/>
        <v>#N/A</v>
      </c>
      <c r="G106" s="7" t="e">
        <f t="shared" si="12"/>
        <v>#N/A</v>
      </c>
      <c r="H106" s="7" t="e">
        <f t="shared" si="13"/>
        <v>#N/A</v>
      </c>
      <c r="I106" s="7" t="e">
        <f t="shared" si="14"/>
        <v>#N/A</v>
      </c>
      <c r="J106" s="8" t="e">
        <f t="shared" si="15"/>
        <v>#N/A</v>
      </c>
      <c r="K106" s="8" t="e">
        <f t="shared" si="16"/>
        <v>#N/A</v>
      </c>
      <c r="M106" s="44"/>
    </row>
    <row r="107" spans="1:13" x14ac:dyDescent="0.25">
      <c r="A107" s="4" t="e">
        <f t="shared" si="9"/>
        <v>#N/A</v>
      </c>
      <c r="B107" s="4" t="e">
        <f t="shared" si="6"/>
        <v>#N/A</v>
      </c>
      <c r="C107" s="5" t="e">
        <f t="shared" si="7"/>
        <v>#N/A</v>
      </c>
      <c r="D107" s="7" t="e">
        <f t="shared" si="17"/>
        <v>#N/A</v>
      </c>
      <c r="E107" s="7" t="e">
        <f t="shared" si="8"/>
        <v>#N/A</v>
      </c>
      <c r="F107" s="7" t="e">
        <f t="shared" si="11"/>
        <v>#N/A</v>
      </c>
      <c r="G107" s="7" t="e">
        <f t="shared" si="12"/>
        <v>#N/A</v>
      </c>
      <c r="H107" s="7" t="e">
        <f t="shared" si="13"/>
        <v>#N/A</v>
      </c>
      <c r="I107" s="7" t="e">
        <f t="shared" si="14"/>
        <v>#N/A</v>
      </c>
      <c r="J107" s="8" t="e">
        <f t="shared" si="15"/>
        <v>#N/A</v>
      </c>
      <c r="K107" s="8" t="e">
        <f t="shared" si="16"/>
        <v>#N/A</v>
      </c>
      <c r="M107" s="44"/>
    </row>
    <row r="108" spans="1:13" x14ac:dyDescent="0.25">
      <c r="A108" s="4" t="e">
        <f t="shared" si="9"/>
        <v>#N/A</v>
      </c>
      <c r="B108" s="4" t="e">
        <f t="shared" si="6"/>
        <v>#N/A</v>
      </c>
      <c r="C108" s="5" t="e">
        <f t="shared" si="7"/>
        <v>#N/A</v>
      </c>
      <c r="D108" s="7" t="e">
        <f t="shared" si="17"/>
        <v>#N/A</v>
      </c>
      <c r="E108" s="7" t="e">
        <f t="shared" si="8"/>
        <v>#N/A</v>
      </c>
      <c r="F108" s="7" t="e">
        <f t="shared" si="11"/>
        <v>#N/A</v>
      </c>
      <c r="G108" s="7" t="e">
        <f t="shared" si="12"/>
        <v>#N/A</v>
      </c>
      <c r="H108" s="7" t="e">
        <f t="shared" si="13"/>
        <v>#N/A</v>
      </c>
      <c r="I108" s="7" t="e">
        <f t="shared" si="14"/>
        <v>#N/A</v>
      </c>
      <c r="J108" s="8" t="e">
        <f t="shared" si="15"/>
        <v>#N/A</v>
      </c>
      <c r="K108" s="8" t="e">
        <f t="shared" si="16"/>
        <v>#N/A</v>
      </c>
      <c r="M108" s="44"/>
    </row>
    <row r="109" spans="1:13" x14ac:dyDescent="0.25">
      <c r="A109" s="4" t="e">
        <f t="shared" si="9"/>
        <v>#N/A</v>
      </c>
      <c r="B109" s="4" t="e">
        <f t="shared" si="6"/>
        <v>#N/A</v>
      </c>
      <c r="C109" s="5" t="e">
        <f t="shared" si="7"/>
        <v>#N/A</v>
      </c>
      <c r="D109" s="7" t="e">
        <f t="shared" si="17"/>
        <v>#N/A</v>
      </c>
      <c r="E109" s="7" t="e">
        <f t="shared" si="8"/>
        <v>#N/A</v>
      </c>
      <c r="F109" s="7" t="e">
        <f t="shared" si="11"/>
        <v>#N/A</v>
      </c>
      <c r="G109" s="7" t="e">
        <f t="shared" si="12"/>
        <v>#N/A</v>
      </c>
      <c r="H109" s="7" t="e">
        <f t="shared" si="13"/>
        <v>#N/A</v>
      </c>
      <c r="I109" s="7" t="e">
        <f t="shared" si="14"/>
        <v>#N/A</v>
      </c>
      <c r="J109" s="8" t="e">
        <f t="shared" si="15"/>
        <v>#N/A</v>
      </c>
      <c r="K109" s="8" t="e">
        <f t="shared" si="16"/>
        <v>#N/A</v>
      </c>
      <c r="M109" s="44"/>
    </row>
    <row r="110" spans="1:13" x14ac:dyDescent="0.25">
      <c r="A110" s="4" t="e">
        <f t="shared" si="9"/>
        <v>#N/A</v>
      </c>
      <c r="B110" s="4" t="e">
        <f t="shared" si="6"/>
        <v>#N/A</v>
      </c>
      <c r="C110" s="5" t="e">
        <f t="shared" si="7"/>
        <v>#N/A</v>
      </c>
      <c r="D110" s="7" t="e">
        <f t="shared" si="17"/>
        <v>#N/A</v>
      </c>
      <c r="E110" s="7" t="e">
        <f t="shared" si="8"/>
        <v>#N/A</v>
      </c>
      <c r="F110" s="7" t="e">
        <f t="shared" si="11"/>
        <v>#N/A</v>
      </c>
      <c r="G110" s="7" t="e">
        <f t="shared" si="12"/>
        <v>#N/A</v>
      </c>
      <c r="H110" s="7" t="e">
        <f t="shared" si="13"/>
        <v>#N/A</v>
      </c>
      <c r="I110" s="7" t="e">
        <f t="shared" si="14"/>
        <v>#N/A</v>
      </c>
      <c r="J110" s="8" t="e">
        <f t="shared" si="15"/>
        <v>#N/A</v>
      </c>
      <c r="K110" s="8" t="e">
        <f t="shared" si="16"/>
        <v>#N/A</v>
      </c>
      <c r="M110" s="44"/>
    </row>
    <row r="111" spans="1:13" x14ac:dyDescent="0.25">
      <c r="A111" s="4" t="e">
        <f t="shared" si="9"/>
        <v>#N/A</v>
      </c>
      <c r="B111" s="4" t="e">
        <f t="shared" si="6"/>
        <v>#N/A</v>
      </c>
      <c r="C111" s="5" t="e">
        <f t="shared" si="7"/>
        <v>#N/A</v>
      </c>
      <c r="D111" s="7" t="e">
        <f t="shared" si="17"/>
        <v>#N/A</v>
      </c>
      <c r="E111" s="7" t="e">
        <f t="shared" si="8"/>
        <v>#N/A</v>
      </c>
      <c r="F111" s="7" t="e">
        <f t="shared" si="11"/>
        <v>#N/A</v>
      </c>
      <c r="G111" s="7" t="e">
        <f t="shared" si="12"/>
        <v>#N/A</v>
      </c>
      <c r="H111" s="7" t="e">
        <f t="shared" si="13"/>
        <v>#N/A</v>
      </c>
      <c r="I111" s="7" t="e">
        <f t="shared" si="14"/>
        <v>#N/A</v>
      </c>
      <c r="J111" s="8" t="e">
        <f t="shared" si="15"/>
        <v>#N/A</v>
      </c>
      <c r="K111" s="8" t="e">
        <f t="shared" si="16"/>
        <v>#N/A</v>
      </c>
      <c r="M111" s="44"/>
    </row>
    <row r="112" spans="1:13" x14ac:dyDescent="0.25">
      <c r="A112" s="4" t="e">
        <f t="shared" si="9"/>
        <v>#N/A</v>
      </c>
      <c r="B112" s="4" t="e">
        <f t="shared" si="6"/>
        <v>#N/A</v>
      </c>
      <c r="C112" s="5" t="e">
        <f t="shared" si="7"/>
        <v>#N/A</v>
      </c>
      <c r="D112" s="7" t="e">
        <f t="shared" si="17"/>
        <v>#N/A</v>
      </c>
      <c r="E112" s="7" t="e">
        <f t="shared" si="8"/>
        <v>#N/A</v>
      </c>
      <c r="F112" s="7" t="e">
        <f t="shared" si="11"/>
        <v>#N/A</v>
      </c>
      <c r="G112" s="7" t="e">
        <f t="shared" si="12"/>
        <v>#N/A</v>
      </c>
      <c r="H112" s="7" t="e">
        <f t="shared" si="13"/>
        <v>#N/A</v>
      </c>
      <c r="I112" s="7" t="e">
        <f t="shared" si="14"/>
        <v>#N/A</v>
      </c>
      <c r="J112" s="8" t="e">
        <f t="shared" si="15"/>
        <v>#N/A</v>
      </c>
      <c r="K112" s="8" t="e">
        <f t="shared" si="16"/>
        <v>#N/A</v>
      </c>
      <c r="M112" s="44"/>
    </row>
    <row r="113" spans="1:13" x14ac:dyDescent="0.25">
      <c r="A113" s="4" t="e">
        <f t="shared" si="9"/>
        <v>#N/A</v>
      </c>
      <c r="B113" s="4" t="e">
        <f t="shared" si="6"/>
        <v>#N/A</v>
      </c>
      <c r="C113" s="5" t="e">
        <f t="shared" si="7"/>
        <v>#N/A</v>
      </c>
      <c r="D113" s="7" t="e">
        <f t="shared" si="17"/>
        <v>#N/A</v>
      </c>
      <c r="E113" s="7" t="e">
        <f t="shared" si="8"/>
        <v>#N/A</v>
      </c>
      <c r="F113" s="7" t="e">
        <f t="shared" ref="F113:F123" si="18">IF(ISERROR(A114),NA(),"")</f>
        <v>#N/A</v>
      </c>
      <c r="G113" s="7" t="e">
        <f t="shared" ref="G113:G123" si="19">IF(ISERROR(A114),NA(),IF(A114&lt;=$E$11,MIN($E$25*E114,$E$26*$E$25*D114),0))</f>
        <v>#N/A</v>
      </c>
      <c r="H113" s="7" t="e">
        <f t="shared" ref="H113:H123" si="20">IF(ISERROR(A114),NA(),IF(ISERROR(B114),0,IF(AND(B114&gt;=$K$18,B114&lt;($K$18+$K$21)),$K$19*(1+$K$20)^(B114-$K$18),0)))</f>
        <v>#N/A</v>
      </c>
      <c r="I113" s="7" t="e">
        <f t="shared" ref="I113:I123" si="21">IF(ISERROR(A114),NA(),IF(B114&gt;=$E$9,D114-H113,0))</f>
        <v>#N/A</v>
      </c>
      <c r="J113" s="8" t="e">
        <f t="shared" ref="J113:J123" si="22">IF(ISERROR(A114),NA(),FV(C114/$E$43,$E$43,-(E114+G113)/$E$43,-(K112-I113*$E$44),0)-(K112+E114+G113-I113*$E$44))</f>
        <v>#N/A</v>
      </c>
      <c r="K113" s="8" t="e">
        <f t="shared" ref="K113:K123" si="23">IF(ISERROR(A114),NA(),K112+E114+G113+J113-I113)</f>
        <v>#N/A</v>
      </c>
      <c r="M113" s="44"/>
    </row>
    <row r="114" spans="1:13" x14ac:dyDescent="0.25">
      <c r="A114" s="4" t="e">
        <f t="shared" si="9"/>
        <v>#N/A</v>
      </c>
      <c r="B114" s="4" t="e">
        <f t="shared" ref="B114:B124" si="24">IF(ISERROR(A114),NA(),$E$8+A114-1)</f>
        <v>#N/A</v>
      </c>
      <c r="C114" s="5" t="e">
        <f t="shared" ref="C114:C124" si="25">IF(ISERROR(A114),NA(),IF(B114&lt;$E$9,$E$14,$E$15))</f>
        <v>#N/A</v>
      </c>
      <c r="D114" s="7" t="e">
        <f t="shared" si="17"/>
        <v>#N/A</v>
      </c>
      <c r="E114" s="7" t="e">
        <f t="shared" ref="E114:E124" si="26">IF(ISERROR(A114),NA(),IF(B114=$E$9-1,$K$25,0)+IF(A114&lt;=$E$11,$K$30*D114,0))</f>
        <v>#N/A</v>
      </c>
      <c r="F114" s="7" t="e">
        <f t="shared" si="18"/>
        <v>#N/A</v>
      </c>
      <c r="G114" s="7" t="e">
        <f t="shared" si="19"/>
        <v>#N/A</v>
      </c>
      <c r="H114" s="7" t="e">
        <f t="shared" si="20"/>
        <v>#N/A</v>
      </c>
      <c r="I114" s="7" t="e">
        <f t="shared" si="21"/>
        <v>#N/A</v>
      </c>
      <c r="J114" s="8" t="e">
        <f t="shared" si="22"/>
        <v>#N/A</v>
      </c>
      <c r="K114" s="8" t="e">
        <f t="shared" si="23"/>
        <v>#N/A</v>
      </c>
      <c r="M114" s="44"/>
    </row>
    <row r="115" spans="1:13" x14ac:dyDescent="0.25">
      <c r="A115" s="4" t="e">
        <f t="shared" ref="A115:A124" si="27">IF($E$8&gt;=$E$9,NA(),IF(A114&lt;($E$9-$E$8)+$E$10,A114+1,NA()))</f>
        <v>#N/A</v>
      </c>
      <c r="B115" s="4" t="e">
        <f t="shared" si="24"/>
        <v>#N/A</v>
      </c>
      <c r="C115" s="5" t="e">
        <f t="shared" si="25"/>
        <v>#N/A</v>
      </c>
      <c r="D115" s="7" t="e">
        <f t="shared" ref="D115:D124" si="28">IF(ISERROR(A115),NA(),IF(B115&gt;=$E$9,$K$9*(1+$E$16)^(B115-$E$9),(1+$E$21)*D114))</f>
        <v>#N/A</v>
      </c>
      <c r="E115" s="7" t="e">
        <f t="shared" si="26"/>
        <v>#N/A</v>
      </c>
      <c r="F115" s="7" t="e">
        <f t="shared" si="18"/>
        <v>#N/A</v>
      </c>
      <c r="G115" s="7" t="e">
        <f t="shared" si="19"/>
        <v>#N/A</v>
      </c>
      <c r="H115" s="7" t="e">
        <f t="shared" si="20"/>
        <v>#N/A</v>
      </c>
      <c r="I115" s="7" t="e">
        <f t="shared" si="21"/>
        <v>#N/A</v>
      </c>
      <c r="J115" s="8" t="e">
        <f t="shared" si="22"/>
        <v>#N/A</v>
      </c>
      <c r="K115" s="8" t="e">
        <f t="shared" si="23"/>
        <v>#N/A</v>
      </c>
      <c r="M115" s="44"/>
    </row>
    <row r="116" spans="1:13" x14ac:dyDescent="0.25">
      <c r="A116" s="4" t="e">
        <f t="shared" si="27"/>
        <v>#N/A</v>
      </c>
      <c r="B116" s="4" t="e">
        <f t="shared" si="24"/>
        <v>#N/A</v>
      </c>
      <c r="C116" s="5" t="e">
        <f t="shared" si="25"/>
        <v>#N/A</v>
      </c>
      <c r="D116" s="7" t="e">
        <f t="shared" si="28"/>
        <v>#N/A</v>
      </c>
      <c r="E116" s="7" t="e">
        <f t="shared" si="26"/>
        <v>#N/A</v>
      </c>
      <c r="F116" s="7" t="e">
        <f t="shared" si="18"/>
        <v>#N/A</v>
      </c>
      <c r="G116" s="7" t="e">
        <f t="shared" si="19"/>
        <v>#N/A</v>
      </c>
      <c r="H116" s="7" t="e">
        <f t="shared" si="20"/>
        <v>#N/A</v>
      </c>
      <c r="I116" s="7" t="e">
        <f t="shared" si="21"/>
        <v>#N/A</v>
      </c>
      <c r="J116" s="8" t="e">
        <f t="shared" si="22"/>
        <v>#N/A</v>
      </c>
      <c r="K116" s="8" t="e">
        <f t="shared" si="23"/>
        <v>#N/A</v>
      </c>
    </row>
    <row r="117" spans="1:13" x14ac:dyDescent="0.25">
      <c r="A117" s="4" t="e">
        <f t="shared" si="27"/>
        <v>#N/A</v>
      </c>
      <c r="B117" s="4" t="e">
        <f t="shared" si="24"/>
        <v>#N/A</v>
      </c>
      <c r="C117" s="5" t="e">
        <f t="shared" si="25"/>
        <v>#N/A</v>
      </c>
      <c r="D117" s="7" t="e">
        <f t="shared" si="28"/>
        <v>#N/A</v>
      </c>
      <c r="E117" s="7" t="e">
        <f t="shared" si="26"/>
        <v>#N/A</v>
      </c>
      <c r="F117" s="7" t="e">
        <f t="shared" si="18"/>
        <v>#N/A</v>
      </c>
      <c r="G117" s="7" t="e">
        <f t="shared" si="19"/>
        <v>#N/A</v>
      </c>
      <c r="H117" s="7" t="e">
        <f t="shared" si="20"/>
        <v>#N/A</v>
      </c>
      <c r="I117" s="7" t="e">
        <f t="shared" si="21"/>
        <v>#N/A</v>
      </c>
      <c r="J117" s="8" t="e">
        <f t="shared" si="22"/>
        <v>#N/A</v>
      </c>
      <c r="K117" s="8" t="e">
        <f t="shared" si="23"/>
        <v>#N/A</v>
      </c>
    </row>
    <row r="118" spans="1:13" x14ac:dyDescent="0.25">
      <c r="A118" s="4" t="e">
        <f t="shared" si="27"/>
        <v>#N/A</v>
      </c>
      <c r="B118" s="4" t="e">
        <f t="shared" si="24"/>
        <v>#N/A</v>
      </c>
      <c r="C118" s="5" t="e">
        <f t="shared" si="25"/>
        <v>#N/A</v>
      </c>
      <c r="D118" s="7" t="e">
        <f t="shared" si="28"/>
        <v>#N/A</v>
      </c>
      <c r="E118" s="7" t="e">
        <f t="shared" si="26"/>
        <v>#N/A</v>
      </c>
      <c r="F118" s="7" t="e">
        <f t="shared" si="18"/>
        <v>#N/A</v>
      </c>
      <c r="G118" s="7" t="e">
        <f t="shared" si="19"/>
        <v>#N/A</v>
      </c>
      <c r="H118" s="7" t="e">
        <f t="shared" si="20"/>
        <v>#N/A</v>
      </c>
      <c r="I118" s="7" t="e">
        <f t="shared" si="21"/>
        <v>#N/A</v>
      </c>
      <c r="J118" s="8" t="e">
        <f t="shared" si="22"/>
        <v>#N/A</v>
      </c>
      <c r="K118" s="8" t="e">
        <f t="shared" si="23"/>
        <v>#N/A</v>
      </c>
    </row>
    <row r="119" spans="1:13" x14ac:dyDescent="0.25">
      <c r="A119" s="4" t="e">
        <f t="shared" si="27"/>
        <v>#N/A</v>
      </c>
      <c r="B119" s="4" t="e">
        <f t="shared" si="24"/>
        <v>#N/A</v>
      </c>
      <c r="C119" s="5" t="e">
        <f t="shared" si="25"/>
        <v>#N/A</v>
      </c>
      <c r="D119" s="7" t="e">
        <f t="shared" si="28"/>
        <v>#N/A</v>
      </c>
      <c r="E119" s="7" t="e">
        <f t="shared" si="26"/>
        <v>#N/A</v>
      </c>
      <c r="F119" s="7" t="e">
        <f t="shared" si="18"/>
        <v>#N/A</v>
      </c>
      <c r="G119" s="7" t="e">
        <f t="shared" si="19"/>
        <v>#N/A</v>
      </c>
      <c r="H119" s="7" t="e">
        <f t="shared" si="20"/>
        <v>#N/A</v>
      </c>
      <c r="I119" s="7" t="e">
        <f t="shared" si="21"/>
        <v>#N/A</v>
      </c>
      <c r="J119" s="8" t="e">
        <f t="shared" si="22"/>
        <v>#N/A</v>
      </c>
      <c r="K119" s="8" t="e">
        <f t="shared" si="23"/>
        <v>#N/A</v>
      </c>
    </row>
    <row r="120" spans="1:13" x14ac:dyDescent="0.25">
      <c r="A120" s="4" t="e">
        <f t="shared" si="27"/>
        <v>#N/A</v>
      </c>
      <c r="B120" s="4" t="e">
        <f t="shared" si="24"/>
        <v>#N/A</v>
      </c>
      <c r="C120" s="5" t="e">
        <f t="shared" si="25"/>
        <v>#N/A</v>
      </c>
      <c r="D120" s="7" t="e">
        <f t="shared" si="28"/>
        <v>#N/A</v>
      </c>
      <c r="E120" s="7" t="e">
        <f t="shared" si="26"/>
        <v>#N/A</v>
      </c>
      <c r="F120" s="7" t="e">
        <f t="shared" si="18"/>
        <v>#N/A</v>
      </c>
      <c r="G120" s="7" t="e">
        <f t="shared" si="19"/>
        <v>#N/A</v>
      </c>
      <c r="H120" s="7" t="e">
        <f t="shared" si="20"/>
        <v>#N/A</v>
      </c>
      <c r="I120" s="7" t="e">
        <f t="shared" si="21"/>
        <v>#N/A</v>
      </c>
      <c r="J120" s="8" t="e">
        <f t="shared" si="22"/>
        <v>#N/A</v>
      </c>
      <c r="K120" s="8" t="e">
        <f t="shared" si="23"/>
        <v>#N/A</v>
      </c>
    </row>
    <row r="121" spans="1:13" x14ac:dyDescent="0.25">
      <c r="A121" s="4" t="e">
        <f t="shared" si="27"/>
        <v>#N/A</v>
      </c>
      <c r="B121" s="4" t="e">
        <f t="shared" si="24"/>
        <v>#N/A</v>
      </c>
      <c r="C121" s="5" t="e">
        <f t="shared" si="25"/>
        <v>#N/A</v>
      </c>
      <c r="D121" s="7" t="e">
        <f t="shared" si="28"/>
        <v>#N/A</v>
      </c>
      <c r="E121" s="7" t="e">
        <f t="shared" si="26"/>
        <v>#N/A</v>
      </c>
      <c r="F121" s="7" t="e">
        <f t="shared" si="18"/>
        <v>#N/A</v>
      </c>
      <c r="G121" s="7" t="e">
        <f t="shared" si="19"/>
        <v>#N/A</v>
      </c>
      <c r="H121" s="7" t="e">
        <f t="shared" si="20"/>
        <v>#N/A</v>
      </c>
      <c r="I121" s="7" t="e">
        <f t="shared" si="21"/>
        <v>#N/A</v>
      </c>
      <c r="J121" s="8" t="e">
        <f t="shared" si="22"/>
        <v>#N/A</v>
      </c>
      <c r="K121" s="8" t="e">
        <f t="shared" si="23"/>
        <v>#N/A</v>
      </c>
    </row>
    <row r="122" spans="1:13" x14ac:dyDescent="0.25">
      <c r="A122" s="4" t="e">
        <f t="shared" si="27"/>
        <v>#N/A</v>
      </c>
      <c r="B122" s="4" t="e">
        <f t="shared" si="24"/>
        <v>#N/A</v>
      </c>
      <c r="C122" s="5" t="e">
        <f t="shared" si="25"/>
        <v>#N/A</v>
      </c>
      <c r="D122" s="7" t="e">
        <f t="shared" si="28"/>
        <v>#N/A</v>
      </c>
      <c r="E122" s="7" t="e">
        <f t="shared" si="26"/>
        <v>#N/A</v>
      </c>
      <c r="F122" s="7" t="e">
        <f t="shared" si="18"/>
        <v>#N/A</v>
      </c>
      <c r="G122" s="7" t="e">
        <f t="shared" si="19"/>
        <v>#N/A</v>
      </c>
      <c r="H122" s="7" t="e">
        <f t="shared" si="20"/>
        <v>#N/A</v>
      </c>
      <c r="I122" s="7" t="e">
        <f t="shared" si="21"/>
        <v>#N/A</v>
      </c>
      <c r="J122" s="8" t="e">
        <f t="shared" si="22"/>
        <v>#N/A</v>
      </c>
      <c r="K122" s="8" t="e">
        <f t="shared" si="23"/>
        <v>#N/A</v>
      </c>
    </row>
    <row r="123" spans="1:13" x14ac:dyDescent="0.25">
      <c r="A123" s="4" t="e">
        <f t="shared" si="27"/>
        <v>#N/A</v>
      </c>
      <c r="B123" s="4" t="e">
        <f t="shared" si="24"/>
        <v>#N/A</v>
      </c>
      <c r="C123" s="5" t="e">
        <f t="shared" si="25"/>
        <v>#N/A</v>
      </c>
      <c r="D123" s="7" t="e">
        <f t="shared" si="28"/>
        <v>#N/A</v>
      </c>
      <c r="E123" s="7" t="e">
        <f t="shared" si="26"/>
        <v>#N/A</v>
      </c>
      <c r="F123" s="7" t="e">
        <f t="shared" si="18"/>
        <v>#N/A</v>
      </c>
      <c r="G123" s="7" t="e">
        <f t="shared" si="19"/>
        <v>#N/A</v>
      </c>
      <c r="H123" s="7" t="e">
        <f t="shared" si="20"/>
        <v>#N/A</v>
      </c>
      <c r="I123" s="7" t="e">
        <f t="shared" si="21"/>
        <v>#N/A</v>
      </c>
      <c r="J123" s="8" t="e">
        <f t="shared" si="22"/>
        <v>#N/A</v>
      </c>
      <c r="K123" s="8" t="e">
        <f t="shared" si="23"/>
        <v>#N/A</v>
      </c>
    </row>
    <row r="124" spans="1:13" x14ac:dyDescent="0.25">
      <c r="A124" s="4" t="e">
        <f t="shared" si="27"/>
        <v>#N/A</v>
      </c>
      <c r="B124" s="4" t="e">
        <f t="shared" si="24"/>
        <v>#N/A</v>
      </c>
      <c r="C124" s="5" t="e">
        <f t="shared" si="25"/>
        <v>#N/A</v>
      </c>
      <c r="D124" s="7" t="e">
        <f t="shared" si="28"/>
        <v>#N/A</v>
      </c>
      <c r="E124" s="7" t="e">
        <f t="shared" si="26"/>
        <v>#N/A</v>
      </c>
      <c r="F124" s="34"/>
      <c r="G124" s="34"/>
      <c r="H124" s="34"/>
      <c r="I124" s="34"/>
      <c r="J124" s="34"/>
      <c r="K124" s="34"/>
    </row>
    <row r="125" spans="1:13" x14ac:dyDescent="0.25">
      <c r="A125" s="34"/>
      <c r="B125" s="34"/>
      <c r="C125" s="34"/>
      <c r="D125" s="34"/>
      <c r="E125" s="34"/>
    </row>
    <row r="127" spans="1:13" x14ac:dyDescent="0.25">
      <c r="J127" s="1"/>
      <c r="K127" s="41" t="s">
        <v>29</v>
      </c>
    </row>
    <row r="128" spans="1:13" ht="26" thickBot="1" x14ac:dyDescent="0.3">
      <c r="A128" s="3" t="str">
        <f>IF(E8=E9,"No Accumulation Phase","Table Based on "&amp;TEXT(E24,"0.00%")&amp;" Salary Contribution Scenario")</f>
        <v>Table Based on 1.50% Salary Contribution Scenario</v>
      </c>
      <c r="F128" s="15"/>
      <c r="G128" s="15" t="s">
        <v>26</v>
      </c>
      <c r="H128" s="43" t="s">
        <v>34</v>
      </c>
      <c r="I128" s="33" t="s">
        <v>18</v>
      </c>
      <c r="J128" s="15" t="s">
        <v>22</v>
      </c>
      <c r="K128" s="16" t="s">
        <v>0</v>
      </c>
    </row>
    <row r="129" spans="1:11" ht="25.5" thickBot="1" x14ac:dyDescent="0.3">
      <c r="A129" s="15" t="s">
        <v>3</v>
      </c>
      <c r="B129" s="15" t="s">
        <v>4</v>
      </c>
      <c r="C129" s="15" t="s">
        <v>8</v>
      </c>
      <c r="D129" s="15" t="s">
        <v>20</v>
      </c>
      <c r="E129" s="15" t="s">
        <v>6</v>
      </c>
      <c r="F129" s="13"/>
      <c r="G129" s="13"/>
      <c r="H129" s="13"/>
      <c r="I129" s="12"/>
      <c r="J129" s="12"/>
      <c r="K129" s="14">
        <f>'Retirement Plan'!$K$13</f>
        <v>0</v>
      </c>
    </row>
    <row r="130" spans="1:11" x14ac:dyDescent="0.25">
      <c r="A130" s="12"/>
      <c r="B130" s="12"/>
      <c r="C130" s="12"/>
      <c r="D130" s="13"/>
      <c r="E130" s="13"/>
      <c r="F130" s="7" t="str">
        <f t="shared" ref="F130:F161" si="29">IF(ISERROR(A131),NA(),"")</f>
        <v/>
      </c>
      <c r="G130" s="7">
        <f t="shared" ref="G130:G161" si="30">IF(ISERROR(A131),NA(),IF(A131&lt;=$E$11,MIN($E$25*E131,$E$26*$E$25*D131),0))</f>
        <v>7200</v>
      </c>
      <c r="H130" s="7">
        <f t="shared" ref="H130:H161" si="31">IF(ISERROR(A131),NA(),IF(ISERROR(B131),0,IF(AND(B131&gt;=$K$18,B131&lt;($K$18+$K$21)),$K$19*(1+$K$20)^(B131-$K$18),0)))</f>
        <v>0</v>
      </c>
      <c r="I130" s="7">
        <f t="shared" ref="I130:I161" si="32">IF(ISERROR(A131),NA(),IF(B131&gt;=$E$9,D131-H130,0))</f>
        <v>0</v>
      </c>
      <c r="J130" s="8">
        <f t="shared" ref="J130:J161" si="33">IF(ISERROR(A131),NA(),FV(C131/$E$43,$E$43,-(E131+G130)/$E$43,-(K129-I130*$E$44),0)-(K129+E131+G130-I130*$E$44))</f>
        <v>-7.2759576141834259E-12</v>
      </c>
      <c r="K130" s="8">
        <f t="shared" ref="K130:K161" si="34">IF(ISERROR(A131),NA(),K129+E131+G130+J130-I130)</f>
        <v>14399.999999999993</v>
      </c>
    </row>
    <row r="131" spans="1:11" x14ac:dyDescent="0.25">
      <c r="A131" s="4">
        <f t="shared" ref="A131:A162" si="35">IF(OR(K129&lt;0,A130&gt;=($E$9-$E$8)+$E$10),NA(),A130+1)</f>
        <v>1</v>
      </c>
      <c r="B131" s="4">
        <f>IF(ISERROR(A131),NA(),$E$8+A131-1)</f>
        <v>52</v>
      </c>
      <c r="C131" s="5">
        <f>IF(ISERROR(A131),NA(),IF(B131&lt;$E$9,$E$14,$E$15))</f>
        <v>7.4999999999999997E-2</v>
      </c>
      <c r="D131" s="6">
        <f>IF(E8&gt;=E9,K8,E20)</f>
        <v>480000</v>
      </c>
      <c r="E131" s="7">
        <f t="shared" ref="E131:E162" si="36">IF(ISERROR(A131),NA(),IF(B131=$E$9-1,$K$25)+IF(A131&lt;=$E$11,$E$24*D131,0))</f>
        <v>7200</v>
      </c>
      <c r="F131" s="7" t="str">
        <f t="shared" si="29"/>
        <v/>
      </c>
      <c r="G131" s="7">
        <f t="shared" si="30"/>
        <v>7560</v>
      </c>
      <c r="H131" s="7">
        <f t="shared" si="31"/>
        <v>0</v>
      </c>
      <c r="I131" s="7">
        <f t="shared" si="32"/>
        <v>0</v>
      </c>
      <c r="J131" s="8">
        <f t="shared" si="33"/>
        <v>1079.9999999999891</v>
      </c>
      <c r="K131" s="8">
        <f t="shared" si="34"/>
        <v>30599.999999999982</v>
      </c>
    </row>
    <row r="132" spans="1:11" x14ac:dyDescent="0.25">
      <c r="A132" s="4">
        <f t="shared" si="35"/>
        <v>2</v>
      </c>
      <c r="B132" s="4">
        <f t="shared" ref="B132:B195" si="37">IF(ISERROR(A132),NA(),$E$8+A132-1)</f>
        <v>53</v>
      </c>
      <c r="C132" s="5">
        <f t="shared" ref="C132:C195" si="38">IF(ISERROR(A132),NA(),IF(B132&lt;$E$9,$E$14,$E$15))</f>
        <v>7.4999999999999997E-2</v>
      </c>
      <c r="D132" s="7">
        <f t="shared" ref="D132:D163" si="39">IF(ISERROR(A132),NA(),IF(B132&gt;=$E$9,$K$9*(1+$E$16)^(B132-$E$9),(1+$E$21)*D131))</f>
        <v>504000</v>
      </c>
      <c r="E132" s="7">
        <f t="shared" si="36"/>
        <v>7560</v>
      </c>
      <c r="F132" s="7" t="str">
        <f t="shared" si="29"/>
        <v/>
      </c>
      <c r="G132" s="7">
        <f t="shared" si="30"/>
        <v>7938</v>
      </c>
      <c r="H132" s="7">
        <f t="shared" si="31"/>
        <v>0</v>
      </c>
      <c r="I132" s="7">
        <f t="shared" si="32"/>
        <v>0</v>
      </c>
      <c r="J132" s="8">
        <f t="shared" si="33"/>
        <v>2294.9999999999854</v>
      </c>
      <c r="K132" s="8">
        <f t="shared" si="34"/>
        <v>48770.999999999971</v>
      </c>
    </row>
    <row r="133" spans="1:11" x14ac:dyDescent="0.25">
      <c r="A133" s="4">
        <f t="shared" si="35"/>
        <v>3</v>
      </c>
      <c r="B133" s="4">
        <f t="shared" si="37"/>
        <v>54</v>
      </c>
      <c r="C133" s="5">
        <f t="shared" si="38"/>
        <v>7.4999999999999997E-2</v>
      </c>
      <c r="D133" s="7">
        <f t="shared" si="39"/>
        <v>529200</v>
      </c>
      <c r="E133" s="7">
        <f t="shared" si="36"/>
        <v>7938</v>
      </c>
      <c r="F133" s="7" t="str">
        <f t="shared" si="29"/>
        <v/>
      </c>
      <c r="G133" s="7">
        <f t="shared" si="30"/>
        <v>8334.9</v>
      </c>
      <c r="H133" s="7">
        <f t="shared" si="31"/>
        <v>0</v>
      </c>
      <c r="I133" s="7">
        <f t="shared" si="32"/>
        <v>0</v>
      </c>
      <c r="J133" s="8">
        <f t="shared" si="33"/>
        <v>3657.8249999999825</v>
      </c>
      <c r="K133" s="8">
        <f t="shared" si="34"/>
        <v>69098.624999999956</v>
      </c>
    </row>
    <row r="134" spans="1:11" x14ac:dyDescent="0.25">
      <c r="A134" s="4">
        <f t="shared" si="35"/>
        <v>4</v>
      </c>
      <c r="B134" s="4">
        <f t="shared" si="37"/>
        <v>55</v>
      </c>
      <c r="C134" s="5">
        <f t="shared" si="38"/>
        <v>7.4999999999999997E-2</v>
      </c>
      <c r="D134" s="7">
        <f t="shared" si="39"/>
        <v>555660</v>
      </c>
      <c r="E134" s="7">
        <f t="shared" si="36"/>
        <v>8334.9</v>
      </c>
      <c r="F134" s="7" t="str">
        <f t="shared" si="29"/>
        <v/>
      </c>
      <c r="G134" s="7">
        <f t="shared" si="30"/>
        <v>8751.6450000000004</v>
      </c>
      <c r="H134" s="7">
        <f t="shared" si="31"/>
        <v>0</v>
      </c>
      <c r="I134" s="7">
        <f t="shared" si="32"/>
        <v>0</v>
      </c>
      <c r="J134" s="8">
        <f t="shared" si="33"/>
        <v>5182.3968749999767</v>
      </c>
      <c r="K134" s="8">
        <f t="shared" si="34"/>
        <v>91784.311874999941</v>
      </c>
    </row>
    <row r="135" spans="1:11" x14ac:dyDescent="0.25">
      <c r="A135" s="4">
        <f t="shared" si="35"/>
        <v>5</v>
      </c>
      <c r="B135" s="4">
        <f t="shared" si="37"/>
        <v>56</v>
      </c>
      <c r="C135" s="5">
        <f t="shared" si="38"/>
        <v>7.4999999999999997E-2</v>
      </c>
      <c r="D135" s="7">
        <f t="shared" si="39"/>
        <v>583443</v>
      </c>
      <c r="E135" s="7">
        <f t="shared" si="36"/>
        <v>8751.6450000000004</v>
      </c>
      <c r="F135" s="7" t="str">
        <f t="shared" si="29"/>
        <v/>
      </c>
      <c r="G135" s="7">
        <f t="shared" si="30"/>
        <v>9189.2272499999999</v>
      </c>
      <c r="H135" s="7">
        <f t="shared" si="31"/>
        <v>0</v>
      </c>
      <c r="I135" s="7">
        <f t="shared" si="32"/>
        <v>0</v>
      </c>
      <c r="J135" s="8">
        <f t="shared" si="33"/>
        <v>6883.8233906249952</v>
      </c>
      <c r="K135" s="8">
        <f t="shared" si="34"/>
        <v>117046.58976562493</v>
      </c>
    </row>
    <row r="136" spans="1:11" x14ac:dyDescent="0.25">
      <c r="A136" s="4">
        <f t="shared" si="35"/>
        <v>6</v>
      </c>
      <c r="B136" s="4">
        <f t="shared" si="37"/>
        <v>57</v>
      </c>
      <c r="C136" s="5">
        <f t="shared" si="38"/>
        <v>7.4999999999999997E-2</v>
      </c>
      <c r="D136" s="7">
        <f t="shared" si="39"/>
        <v>612615.15</v>
      </c>
      <c r="E136" s="7">
        <f t="shared" si="36"/>
        <v>9189.2272499999999</v>
      </c>
      <c r="F136" s="7" t="str">
        <f t="shared" si="29"/>
        <v/>
      </c>
      <c r="G136" s="7">
        <f t="shared" si="30"/>
        <v>9648.6886125000001</v>
      </c>
      <c r="H136" s="7">
        <f t="shared" si="31"/>
        <v>0</v>
      </c>
      <c r="I136" s="7">
        <f t="shared" si="32"/>
        <v>0</v>
      </c>
      <c r="J136" s="8">
        <f t="shared" si="33"/>
        <v>8778.4942324218282</v>
      </c>
      <c r="K136" s="8">
        <f t="shared" si="34"/>
        <v>145122.46122304676</v>
      </c>
    </row>
    <row r="137" spans="1:11" x14ac:dyDescent="0.25">
      <c r="A137" s="4">
        <f t="shared" si="35"/>
        <v>7</v>
      </c>
      <c r="B137" s="4">
        <f t="shared" si="37"/>
        <v>58</v>
      </c>
      <c r="C137" s="5">
        <f t="shared" si="38"/>
        <v>7.4999999999999997E-2</v>
      </c>
      <c r="D137" s="7">
        <f t="shared" si="39"/>
        <v>643245.90750000009</v>
      </c>
      <c r="E137" s="7">
        <f t="shared" si="36"/>
        <v>9648.6886125000001</v>
      </c>
      <c r="F137" s="7" t="str">
        <f t="shared" si="29"/>
        <v/>
      </c>
      <c r="G137" s="7">
        <f t="shared" si="30"/>
        <v>10131.123043125001</v>
      </c>
      <c r="H137" s="7">
        <f t="shared" si="31"/>
        <v>0</v>
      </c>
      <c r="I137" s="7">
        <f t="shared" si="32"/>
        <v>0</v>
      </c>
      <c r="J137" s="8">
        <f t="shared" si="33"/>
        <v>10884.184591728495</v>
      </c>
      <c r="K137" s="8">
        <f t="shared" si="34"/>
        <v>176268.89190102526</v>
      </c>
    </row>
    <row r="138" spans="1:11" x14ac:dyDescent="0.25">
      <c r="A138" s="4">
        <f t="shared" si="35"/>
        <v>8</v>
      </c>
      <c r="B138" s="4">
        <f t="shared" si="37"/>
        <v>59</v>
      </c>
      <c r="C138" s="5">
        <f t="shared" si="38"/>
        <v>7.4999999999999997E-2</v>
      </c>
      <c r="D138" s="7">
        <f t="shared" si="39"/>
        <v>675408.20287500008</v>
      </c>
      <c r="E138" s="7">
        <f t="shared" si="36"/>
        <v>10131.123043125001</v>
      </c>
      <c r="F138" s="7" t="str">
        <f t="shared" si="29"/>
        <v/>
      </c>
      <c r="G138" s="7">
        <f t="shared" si="30"/>
        <v>0</v>
      </c>
      <c r="H138" s="7">
        <f t="shared" si="31"/>
        <v>0</v>
      </c>
      <c r="I138" s="7">
        <f t="shared" si="32"/>
        <v>61585.607268237334</v>
      </c>
      <c r="J138" s="8">
        <f t="shared" si="33"/>
        <v>5734.1642316393991</v>
      </c>
      <c r="K138" s="8">
        <f t="shared" si="34"/>
        <v>120417.44886442734</v>
      </c>
    </row>
    <row r="139" spans="1:11" x14ac:dyDescent="0.25">
      <c r="A139" s="4">
        <f t="shared" si="35"/>
        <v>9</v>
      </c>
      <c r="B139" s="4">
        <f t="shared" si="37"/>
        <v>60</v>
      </c>
      <c r="C139" s="5">
        <f t="shared" si="38"/>
        <v>0.05</v>
      </c>
      <c r="D139" s="7">
        <f t="shared" si="39"/>
        <v>61585.607268237334</v>
      </c>
      <c r="E139" s="7">
        <f t="shared" si="36"/>
        <v>0</v>
      </c>
      <c r="F139" s="7" t="str">
        <f t="shared" si="29"/>
        <v/>
      </c>
      <c r="G139" s="7">
        <f t="shared" si="30"/>
        <v>0</v>
      </c>
      <c r="H139" s="7">
        <f t="shared" si="31"/>
        <v>0</v>
      </c>
      <c r="I139" s="7">
        <f t="shared" si="32"/>
        <v>64049.031558966832</v>
      </c>
      <c r="J139" s="8">
        <f t="shared" si="33"/>
        <v>2818.4208652730304</v>
      </c>
      <c r="K139" s="8">
        <f t="shared" si="34"/>
        <v>59186.838170733536</v>
      </c>
    </row>
    <row r="140" spans="1:11" x14ac:dyDescent="0.25">
      <c r="A140" s="4">
        <f t="shared" si="35"/>
        <v>10</v>
      </c>
      <c r="B140" s="4">
        <f t="shared" si="37"/>
        <v>61</v>
      </c>
      <c r="C140" s="5">
        <f t="shared" si="38"/>
        <v>0.05</v>
      </c>
      <c r="D140" s="7">
        <f t="shared" si="39"/>
        <v>64049.031558966832</v>
      </c>
      <c r="E140" s="7">
        <f t="shared" si="36"/>
        <v>0</v>
      </c>
      <c r="F140" s="7" t="str">
        <f t="shared" si="29"/>
        <v/>
      </c>
      <c r="G140" s="7">
        <f t="shared" si="30"/>
        <v>0</v>
      </c>
      <c r="H140" s="7">
        <f t="shared" si="31"/>
        <v>0</v>
      </c>
      <c r="I140" s="7">
        <f t="shared" si="32"/>
        <v>66610.992821325504</v>
      </c>
      <c r="J140" s="8">
        <f t="shared" si="33"/>
        <v>-371.20773252959862</v>
      </c>
      <c r="K140" s="8">
        <f t="shared" si="34"/>
        <v>-7795.3623831215664</v>
      </c>
    </row>
    <row r="141" spans="1:11" x14ac:dyDescent="0.25">
      <c r="A141" s="4">
        <f t="shared" si="35"/>
        <v>11</v>
      </c>
      <c r="B141" s="4">
        <f t="shared" si="37"/>
        <v>62</v>
      </c>
      <c r="C141" s="5">
        <f t="shared" si="38"/>
        <v>0.05</v>
      </c>
      <c r="D141" s="7">
        <f t="shared" si="39"/>
        <v>66610.992821325504</v>
      </c>
      <c r="E141" s="7">
        <f t="shared" si="36"/>
        <v>0</v>
      </c>
      <c r="F141" s="7" t="e">
        <f t="shared" si="29"/>
        <v>#N/A</v>
      </c>
      <c r="G141" s="7" t="e">
        <f t="shared" si="30"/>
        <v>#N/A</v>
      </c>
      <c r="H141" s="7" t="e">
        <f t="shared" si="31"/>
        <v>#N/A</v>
      </c>
      <c r="I141" s="7" t="e">
        <f t="shared" si="32"/>
        <v>#N/A</v>
      </c>
      <c r="J141" s="8" t="e">
        <f t="shared" si="33"/>
        <v>#N/A</v>
      </c>
      <c r="K141" s="8" t="e">
        <f t="shared" si="34"/>
        <v>#N/A</v>
      </c>
    </row>
    <row r="142" spans="1:11" x14ac:dyDescent="0.25">
      <c r="A142" s="4" t="e">
        <f t="shared" si="35"/>
        <v>#N/A</v>
      </c>
      <c r="B142" s="4" t="e">
        <f t="shared" si="37"/>
        <v>#N/A</v>
      </c>
      <c r="C142" s="5" t="e">
        <f t="shared" si="38"/>
        <v>#N/A</v>
      </c>
      <c r="D142" s="7" t="e">
        <f t="shared" si="39"/>
        <v>#N/A</v>
      </c>
      <c r="E142" s="7" t="e">
        <f t="shared" si="36"/>
        <v>#N/A</v>
      </c>
      <c r="F142" s="7" t="e">
        <f t="shared" si="29"/>
        <v>#N/A</v>
      </c>
      <c r="G142" s="7" t="e">
        <f t="shared" si="30"/>
        <v>#N/A</v>
      </c>
      <c r="H142" s="7" t="e">
        <f t="shared" si="31"/>
        <v>#N/A</v>
      </c>
      <c r="I142" s="7" t="e">
        <f t="shared" si="32"/>
        <v>#N/A</v>
      </c>
      <c r="J142" s="8" t="e">
        <f t="shared" si="33"/>
        <v>#N/A</v>
      </c>
      <c r="K142" s="8" t="e">
        <f t="shared" si="34"/>
        <v>#N/A</v>
      </c>
    </row>
    <row r="143" spans="1:11" x14ac:dyDescent="0.25">
      <c r="A143" s="4" t="e">
        <f t="shared" si="35"/>
        <v>#N/A</v>
      </c>
      <c r="B143" s="4" t="e">
        <f t="shared" si="37"/>
        <v>#N/A</v>
      </c>
      <c r="C143" s="5" t="e">
        <f t="shared" si="38"/>
        <v>#N/A</v>
      </c>
      <c r="D143" s="7" t="e">
        <f t="shared" si="39"/>
        <v>#N/A</v>
      </c>
      <c r="E143" s="7" t="e">
        <f t="shared" si="36"/>
        <v>#N/A</v>
      </c>
      <c r="F143" s="7" t="e">
        <f t="shared" si="29"/>
        <v>#N/A</v>
      </c>
      <c r="G143" s="7" t="e">
        <f t="shared" si="30"/>
        <v>#N/A</v>
      </c>
      <c r="H143" s="7" t="e">
        <f t="shared" si="31"/>
        <v>#N/A</v>
      </c>
      <c r="I143" s="7" t="e">
        <f t="shared" si="32"/>
        <v>#N/A</v>
      </c>
      <c r="J143" s="8" t="e">
        <f t="shared" si="33"/>
        <v>#N/A</v>
      </c>
      <c r="K143" s="8" t="e">
        <f t="shared" si="34"/>
        <v>#N/A</v>
      </c>
    </row>
    <row r="144" spans="1:11" x14ac:dyDescent="0.25">
      <c r="A144" s="4" t="e">
        <f t="shared" si="35"/>
        <v>#N/A</v>
      </c>
      <c r="B144" s="4" t="e">
        <f t="shared" si="37"/>
        <v>#N/A</v>
      </c>
      <c r="C144" s="5" t="e">
        <f t="shared" si="38"/>
        <v>#N/A</v>
      </c>
      <c r="D144" s="7" t="e">
        <f t="shared" si="39"/>
        <v>#N/A</v>
      </c>
      <c r="E144" s="7" t="e">
        <f t="shared" si="36"/>
        <v>#N/A</v>
      </c>
      <c r="F144" s="7" t="e">
        <f t="shared" si="29"/>
        <v>#N/A</v>
      </c>
      <c r="G144" s="7" t="e">
        <f t="shared" si="30"/>
        <v>#N/A</v>
      </c>
      <c r="H144" s="7" t="e">
        <f t="shared" si="31"/>
        <v>#N/A</v>
      </c>
      <c r="I144" s="7" t="e">
        <f t="shared" si="32"/>
        <v>#N/A</v>
      </c>
      <c r="J144" s="8" t="e">
        <f t="shared" si="33"/>
        <v>#N/A</v>
      </c>
      <c r="K144" s="8" t="e">
        <f t="shared" si="34"/>
        <v>#N/A</v>
      </c>
    </row>
    <row r="145" spans="1:11" x14ac:dyDescent="0.25">
      <c r="A145" s="4" t="e">
        <f t="shared" si="35"/>
        <v>#N/A</v>
      </c>
      <c r="B145" s="4" t="e">
        <f t="shared" si="37"/>
        <v>#N/A</v>
      </c>
      <c r="C145" s="5" t="e">
        <f t="shared" si="38"/>
        <v>#N/A</v>
      </c>
      <c r="D145" s="7" t="e">
        <f t="shared" si="39"/>
        <v>#N/A</v>
      </c>
      <c r="E145" s="7" t="e">
        <f t="shared" si="36"/>
        <v>#N/A</v>
      </c>
      <c r="F145" s="7" t="e">
        <f t="shared" si="29"/>
        <v>#N/A</v>
      </c>
      <c r="G145" s="7" t="e">
        <f t="shared" si="30"/>
        <v>#N/A</v>
      </c>
      <c r="H145" s="7" t="e">
        <f t="shared" si="31"/>
        <v>#N/A</v>
      </c>
      <c r="I145" s="7" t="e">
        <f t="shared" si="32"/>
        <v>#N/A</v>
      </c>
      <c r="J145" s="8" t="e">
        <f t="shared" si="33"/>
        <v>#N/A</v>
      </c>
      <c r="K145" s="8" t="e">
        <f t="shared" si="34"/>
        <v>#N/A</v>
      </c>
    </row>
    <row r="146" spans="1:11" x14ac:dyDescent="0.25">
      <c r="A146" s="4" t="e">
        <f t="shared" si="35"/>
        <v>#N/A</v>
      </c>
      <c r="B146" s="4" t="e">
        <f t="shared" si="37"/>
        <v>#N/A</v>
      </c>
      <c r="C146" s="5" t="e">
        <f t="shared" si="38"/>
        <v>#N/A</v>
      </c>
      <c r="D146" s="7" t="e">
        <f t="shared" si="39"/>
        <v>#N/A</v>
      </c>
      <c r="E146" s="7" t="e">
        <f t="shared" si="36"/>
        <v>#N/A</v>
      </c>
      <c r="F146" s="7" t="e">
        <f t="shared" si="29"/>
        <v>#N/A</v>
      </c>
      <c r="G146" s="7" t="e">
        <f t="shared" si="30"/>
        <v>#N/A</v>
      </c>
      <c r="H146" s="7" t="e">
        <f t="shared" si="31"/>
        <v>#N/A</v>
      </c>
      <c r="I146" s="7" t="e">
        <f t="shared" si="32"/>
        <v>#N/A</v>
      </c>
      <c r="J146" s="8" t="e">
        <f t="shared" si="33"/>
        <v>#N/A</v>
      </c>
      <c r="K146" s="8" t="e">
        <f t="shared" si="34"/>
        <v>#N/A</v>
      </c>
    </row>
    <row r="147" spans="1:11" x14ac:dyDescent="0.25">
      <c r="A147" s="4" t="e">
        <f t="shared" si="35"/>
        <v>#N/A</v>
      </c>
      <c r="B147" s="4" t="e">
        <f t="shared" si="37"/>
        <v>#N/A</v>
      </c>
      <c r="C147" s="5" t="e">
        <f t="shared" si="38"/>
        <v>#N/A</v>
      </c>
      <c r="D147" s="7" t="e">
        <f t="shared" si="39"/>
        <v>#N/A</v>
      </c>
      <c r="E147" s="7" t="e">
        <f t="shared" si="36"/>
        <v>#N/A</v>
      </c>
      <c r="F147" s="7" t="e">
        <f t="shared" si="29"/>
        <v>#N/A</v>
      </c>
      <c r="G147" s="7" t="e">
        <f t="shared" si="30"/>
        <v>#N/A</v>
      </c>
      <c r="H147" s="7" t="e">
        <f t="shared" si="31"/>
        <v>#N/A</v>
      </c>
      <c r="I147" s="7" t="e">
        <f t="shared" si="32"/>
        <v>#N/A</v>
      </c>
      <c r="J147" s="8" t="e">
        <f t="shared" si="33"/>
        <v>#N/A</v>
      </c>
      <c r="K147" s="8" t="e">
        <f t="shared" si="34"/>
        <v>#N/A</v>
      </c>
    </row>
    <row r="148" spans="1:11" x14ac:dyDescent="0.25">
      <c r="A148" s="4" t="e">
        <f t="shared" si="35"/>
        <v>#N/A</v>
      </c>
      <c r="B148" s="4" t="e">
        <f t="shared" si="37"/>
        <v>#N/A</v>
      </c>
      <c r="C148" s="5" t="e">
        <f t="shared" si="38"/>
        <v>#N/A</v>
      </c>
      <c r="D148" s="7" t="e">
        <f t="shared" si="39"/>
        <v>#N/A</v>
      </c>
      <c r="E148" s="7" t="e">
        <f t="shared" si="36"/>
        <v>#N/A</v>
      </c>
      <c r="F148" s="7" t="e">
        <f t="shared" si="29"/>
        <v>#N/A</v>
      </c>
      <c r="G148" s="7" t="e">
        <f t="shared" si="30"/>
        <v>#N/A</v>
      </c>
      <c r="H148" s="7" t="e">
        <f t="shared" si="31"/>
        <v>#N/A</v>
      </c>
      <c r="I148" s="7" t="e">
        <f t="shared" si="32"/>
        <v>#N/A</v>
      </c>
      <c r="J148" s="8" t="e">
        <f t="shared" si="33"/>
        <v>#N/A</v>
      </c>
      <c r="K148" s="8" t="e">
        <f t="shared" si="34"/>
        <v>#N/A</v>
      </c>
    </row>
    <row r="149" spans="1:11" x14ac:dyDescent="0.25">
      <c r="A149" s="4" t="e">
        <f t="shared" si="35"/>
        <v>#N/A</v>
      </c>
      <c r="B149" s="4" t="e">
        <f t="shared" si="37"/>
        <v>#N/A</v>
      </c>
      <c r="C149" s="5" t="e">
        <f t="shared" si="38"/>
        <v>#N/A</v>
      </c>
      <c r="D149" s="7" t="e">
        <f t="shared" si="39"/>
        <v>#N/A</v>
      </c>
      <c r="E149" s="7" t="e">
        <f t="shared" si="36"/>
        <v>#N/A</v>
      </c>
      <c r="F149" s="7" t="e">
        <f t="shared" si="29"/>
        <v>#N/A</v>
      </c>
      <c r="G149" s="7" t="e">
        <f t="shared" si="30"/>
        <v>#N/A</v>
      </c>
      <c r="H149" s="7" t="e">
        <f t="shared" si="31"/>
        <v>#N/A</v>
      </c>
      <c r="I149" s="7" t="e">
        <f t="shared" si="32"/>
        <v>#N/A</v>
      </c>
      <c r="J149" s="8" t="e">
        <f t="shared" si="33"/>
        <v>#N/A</v>
      </c>
      <c r="K149" s="8" t="e">
        <f t="shared" si="34"/>
        <v>#N/A</v>
      </c>
    </row>
    <row r="150" spans="1:11" x14ac:dyDescent="0.25">
      <c r="A150" s="4" t="e">
        <f t="shared" si="35"/>
        <v>#N/A</v>
      </c>
      <c r="B150" s="4" t="e">
        <f t="shared" si="37"/>
        <v>#N/A</v>
      </c>
      <c r="C150" s="5" t="e">
        <f t="shared" si="38"/>
        <v>#N/A</v>
      </c>
      <c r="D150" s="7" t="e">
        <f t="shared" si="39"/>
        <v>#N/A</v>
      </c>
      <c r="E150" s="7" t="e">
        <f t="shared" si="36"/>
        <v>#N/A</v>
      </c>
      <c r="F150" s="7" t="e">
        <f t="shared" si="29"/>
        <v>#N/A</v>
      </c>
      <c r="G150" s="7" t="e">
        <f t="shared" si="30"/>
        <v>#N/A</v>
      </c>
      <c r="H150" s="7" t="e">
        <f t="shared" si="31"/>
        <v>#N/A</v>
      </c>
      <c r="I150" s="7" t="e">
        <f t="shared" si="32"/>
        <v>#N/A</v>
      </c>
      <c r="J150" s="8" t="e">
        <f t="shared" si="33"/>
        <v>#N/A</v>
      </c>
      <c r="K150" s="8" t="e">
        <f t="shared" si="34"/>
        <v>#N/A</v>
      </c>
    </row>
    <row r="151" spans="1:11" x14ac:dyDescent="0.25">
      <c r="A151" s="4" t="e">
        <f t="shared" si="35"/>
        <v>#N/A</v>
      </c>
      <c r="B151" s="4" t="e">
        <f t="shared" si="37"/>
        <v>#N/A</v>
      </c>
      <c r="C151" s="5" t="e">
        <f t="shared" si="38"/>
        <v>#N/A</v>
      </c>
      <c r="D151" s="7" t="e">
        <f t="shared" si="39"/>
        <v>#N/A</v>
      </c>
      <c r="E151" s="7" t="e">
        <f t="shared" si="36"/>
        <v>#N/A</v>
      </c>
      <c r="F151" s="7" t="e">
        <f t="shared" si="29"/>
        <v>#N/A</v>
      </c>
      <c r="G151" s="7" t="e">
        <f t="shared" si="30"/>
        <v>#N/A</v>
      </c>
      <c r="H151" s="7" t="e">
        <f t="shared" si="31"/>
        <v>#N/A</v>
      </c>
      <c r="I151" s="7" t="e">
        <f t="shared" si="32"/>
        <v>#N/A</v>
      </c>
      <c r="J151" s="8" t="e">
        <f t="shared" si="33"/>
        <v>#N/A</v>
      </c>
      <c r="K151" s="8" t="e">
        <f t="shared" si="34"/>
        <v>#N/A</v>
      </c>
    </row>
    <row r="152" spans="1:11" x14ac:dyDescent="0.25">
      <c r="A152" s="4" t="e">
        <f t="shared" si="35"/>
        <v>#N/A</v>
      </c>
      <c r="B152" s="4" t="e">
        <f t="shared" si="37"/>
        <v>#N/A</v>
      </c>
      <c r="C152" s="5" t="e">
        <f t="shared" si="38"/>
        <v>#N/A</v>
      </c>
      <c r="D152" s="7" t="e">
        <f t="shared" si="39"/>
        <v>#N/A</v>
      </c>
      <c r="E152" s="7" t="e">
        <f t="shared" si="36"/>
        <v>#N/A</v>
      </c>
      <c r="F152" s="7" t="e">
        <f t="shared" si="29"/>
        <v>#N/A</v>
      </c>
      <c r="G152" s="7" t="e">
        <f t="shared" si="30"/>
        <v>#N/A</v>
      </c>
      <c r="H152" s="7" t="e">
        <f t="shared" si="31"/>
        <v>#N/A</v>
      </c>
      <c r="I152" s="7" t="e">
        <f t="shared" si="32"/>
        <v>#N/A</v>
      </c>
      <c r="J152" s="8" t="e">
        <f t="shared" si="33"/>
        <v>#N/A</v>
      </c>
      <c r="K152" s="8" t="e">
        <f t="shared" si="34"/>
        <v>#N/A</v>
      </c>
    </row>
    <row r="153" spans="1:11" x14ac:dyDescent="0.25">
      <c r="A153" s="4" t="e">
        <f t="shared" si="35"/>
        <v>#N/A</v>
      </c>
      <c r="B153" s="4" t="e">
        <f t="shared" si="37"/>
        <v>#N/A</v>
      </c>
      <c r="C153" s="5" t="e">
        <f t="shared" si="38"/>
        <v>#N/A</v>
      </c>
      <c r="D153" s="7" t="e">
        <f t="shared" si="39"/>
        <v>#N/A</v>
      </c>
      <c r="E153" s="7" t="e">
        <f t="shared" si="36"/>
        <v>#N/A</v>
      </c>
      <c r="F153" s="7" t="e">
        <f t="shared" si="29"/>
        <v>#N/A</v>
      </c>
      <c r="G153" s="7" t="e">
        <f t="shared" si="30"/>
        <v>#N/A</v>
      </c>
      <c r="H153" s="7" t="e">
        <f t="shared" si="31"/>
        <v>#N/A</v>
      </c>
      <c r="I153" s="7" t="e">
        <f t="shared" si="32"/>
        <v>#N/A</v>
      </c>
      <c r="J153" s="8" t="e">
        <f t="shared" si="33"/>
        <v>#N/A</v>
      </c>
      <c r="K153" s="8" t="e">
        <f t="shared" si="34"/>
        <v>#N/A</v>
      </c>
    </row>
    <row r="154" spans="1:11" x14ac:dyDescent="0.25">
      <c r="A154" s="4" t="e">
        <f t="shared" si="35"/>
        <v>#N/A</v>
      </c>
      <c r="B154" s="4" t="e">
        <f t="shared" si="37"/>
        <v>#N/A</v>
      </c>
      <c r="C154" s="5" t="e">
        <f t="shared" si="38"/>
        <v>#N/A</v>
      </c>
      <c r="D154" s="7" t="e">
        <f t="shared" si="39"/>
        <v>#N/A</v>
      </c>
      <c r="E154" s="7" t="e">
        <f t="shared" si="36"/>
        <v>#N/A</v>
      </c>
      <c r="F154" s="7" t="e">
        <f t="shared" si="29"/>
        <v>#N/A</v>
      </c>
      <c r="G154" s="7" t="e">
        <f t="shared" si="30"/>
        <v>#N/A</v>
      </c>
      <c r="H154" s="7" t="e">
        <f t="shared" si="31"/>
        <v>#N/A</v>
      </c>
      <c r="I154" s="7" t="e">
        <f t="shared" si="32"/>
        <v>#N/A</v>
      </c>
      <c r="J154" s="8" t="e">
        <f t="shared" si="33"/>
        <v>#N/A</v>
      </c>
      <c r="K154" s="8" t="e">
        <f t="shared" si="34"/>
        <v>#N/A</v>
      </c>
    </row>
    <row r="155" spans="1:11" x14ac:dyDescent="0.25">
      <c r="A155" s="4" t="e">
        <f t="shared" si="35"/>
        <v>#N/A</v>
      </c>
      <c r="B155" s="4" t="e">
        <f t="shared" si="37"/>
        <v>#N/A</v>
      </c>
      <c r="C155" s="5" t="e">
        <f t="shared" si="38"/>
        <v>#N/A</v>
      </c>
      <c r="D155" s="7" t="e">
        <f t="shared" si="39"/>
        <v>#N/A</v>
      </c>
      <c r="E155" s="7" t="e">
        <f t="shared" si="36"/>
        <v>#N/A</v>
      </c>
      <c r="F155" s="7" t="e">
        <f t="shared" si="29"/>
        <v>#N/A</v>
      </c>
      <c r="G155" s="7" t="e">
        <f t="shared" si="30"/>
        <v>#N/A</v>
      </c>
      <c r="H155" s="7" t="e">
        <f t="shared" si="31"/>
        <v>#N/A</v>
      </c>
      <c r="I155" s="7" t="e">
        <f t="shared" si="32"/>
        <v>#N/A</v>
      </c>
      <c r="J155" s="8" t="e">
        <f t="shared" si="33"/>
        <v>#N/A</v>
      </c>
      <c r="K155" s="8" t="e">
        <f t="shared" si="34"/>
        <v>#N/A</v>
      </c>
    </row>
    <row r="156" spans="1:11" x14ac:dyDescent="0.25">
      <c r="A156" s="4" t="e">
        <f t="shared" si="35"/>
        <v>#N/A</v>
      </c>
      <c r="B156" s="4" t="e">
        <f t="shared" si="37"/>
        <v>#N/A</v>
      </c>
      <c r="C156" s="5" t="e">
        <f t="shared" si="38"/>
        <v>#N/A</v>
      </c>
      <c r="D156" s="7" t="e">
        <f t="shared" si="39"/>
        <v>#N/A</v>
      </c>
      <c r="E156" s="7" t="e">
        <f t="shared" si="36"/>
        <v>#N/A</v>
      </c>
      <c r="F156" s="7" t="e">
        <f t="shared" si="29"/>
        <v>#N/A</v>
      </c>
      <c r="G156" s="7" t="e">
        <f t="shared" si="30"/>
        <v>#N/A</v>
      </c>
      <c r="H156" s="7" t="e">
        <f t="shared" si="31"/>
        <v>#N/A</v>
      </c>
      <c r="I156" s="7" t="e">
        <f t="shared" si="32"/>
        <v>#N/A</v>
      </c>
      <c r="J156" s="8" t="e">
        <f t="shared" si="33"/>
        <v>#N/A</v>
      </c>
      <c r="K156" s="8" t="e">
        <f t="shared" si="34"/>
        <v>#N/A</v>
      </c>
    </row>
    <row r="157" spans="1:11" x14ac:dyDescent="0.25">
      <c r="A157" s="4" t="e">
        <f t="shared" si="35"/>
        <v>#N/A</v>
      </c>
      <c r="B157" s="4" t="e">
        <f t="shared" si="37"/>
        <v>#N/A</v>
      </c>
      <c r="C157" s="5" t="e">
        <f t="shared" si="38"/>
        <v>#N/A</v>
      </c>
      <c r="D157" s="7" t="e">
        <f t="shared" si="39"/>
        <v>#N/A</v>
      </c>
      <c r="E157" s="7" t="e">
        <f t="shared" si="36"/>
        <v>#N/A</v>
      </c>
      <c r="F157" s="7" t="e">
        <f t="shared" si="29"/>
        <v>#N/A</v>
      </c>
      <c r="G157" s="7" t="e">
        <f t="shared" si="30"/>
        <v>#N/A</v>
      </c>
      <c r="H157" s="7" t="e">
        <f t="shared" si="31"/>
        <v>#N/A</v>
      </c>
      <c r="I157" s="7" t="e">
        <f t="shared" si="32"/>
        <v>#N/A</v>
      </c>
      <c r="J157" s="8" t="e">
        <f t="shared" si="33"/>
        <v>#N/A</v>
      </c>
      <c r="K157" s="8" t="e">
        <f t="shared" si="34"/>
        <v>#N/A</v>
      </c>
    </row>
    <row r="158" spans="1:11" x14ac:dyDescent="0.25">
      <c r="A158" s="4" t="e">
        <f t="shared" si="35"/>
        <v>#N/A</v>
      </c>
      <c r="B158" s="4" t="e">
        <f t="shared" si="37"/>
        <v>#N/A</v>
      </c>
      <c r="C158" s="5" t="e">
        <f t="shared" si="38"/>
        <v>#N/A</v>
      </c>
      <c r="D158" s="7" t="e">
        <f t="shared" si="39"/>
        <v>#N/A</v>
      </c>
      <c r="E158" s="7" t="e">
        <f t="shared" si="36"/>
        <v>#N/A</v>
      </c>
      <c r="F158" s="7" t="e">
        <f t="shared" si="29"/>
        <v>#N/A</v>
      </c>
      <c r="G158" s="7" t="e">
        <f t="shared" si="30"/>
        <v>#N/A</v>
      </c>
      <c r="H158" s="7" t="e">
        <f t="shared" si="31"/>
        <v>#N/A</v>
      </c>
      <c r="I158" s="7" t="e">
        <f t="shared" si="32"/>
        <v>#N/A</v>
      </c>
      <c r="J158" s="8" t="e">
        <f t="shared" si="33"/>
        <v>#N/A</v>
      </c>
      <c r="K158" s="8" t="e">
        <f t="shared" si="34"/>
        <v>#N/A</v>
      </c>
    </row>
    <row r="159" spans="1:11" x14ac:dyDescent="0.25">
      <c r="A159" s="4" t="e">
        <f t="shared" si="35"/>
        <v>#N/A</v>
      </c>
      <c r="B159" s="4" t="e">
        <f t="shared" si="37"/>
        <v>#N/A</v>
      </c>
      <c r="C159" s="5" t="e">
        <f t="shared" si="38"/>
        <v>#N/A</v>
      </c>
      <c r="D159" s="7" t="e">
        <f t="shared" si="39"/>
        <v>#N/A</v>
      </c>
      <c r="E159" s="7" t="e">
        <f t="shared" si="36"/>
        <v>#N/A</v>
      </c>
      <c r="F159" s="7" t="e">
        <f t="shared" si="29"/>
        <v>#N/A</v>
      </c>
      <c r="G159" s="7" t="e">
        <f t="shared" si="30"/>
        <v>#N/A</v>
      </c>
      <c r="H159" s="7" t="e">
        <f t="shared" si="31"/>
        <v>#N/A</v>
      </c>
      <c r="I159" s="7" t="e">
        <f t="shared" si="32"/>
        <v>#N/A</v>
      </c>
      <c r="J159" s="8" t="e">
        <f t="shared" si="33"/>
        <v>#N/A</v>
      </c>
      <c r="K159" s="8" t="e">
        <f t="shared" si="34"/>
        <v>#N/A</v>
      </c>
    </row>
    <row r="160" spans="1:11" x14ac:dyDescent="0.25">
      <c r="A160" s="4" t="e">
        <f t="shared" si="35"/>
        <v>#N/A</v>
      </c>
      <c r="B160" s="4" t="e">
        <f t="shared" si="37"/>
        <v>#N/A</v>
      </c>
      <c r="C160" s="5" t="e">
        <f t="shared" si="38"/>
        <v>#N/A</v>
      </c>
      <c r="D160" s="7" t="e">
        <f t="shared" si="39"/>
        <v>#N/A</v>
      </c>
      <c r="E160" s="7" t="e">
        <f t="shared" si="36"/>
        <v>#N/A</v>
      </c>
      <c r="F160" s="7" t="e">
        <f t="shared" si="29"/>
        <v>#N/A</v>
      </c>
      <c r="G160" s="7" t="e">
        <f t="shared" si="30"/>
        <v>#N/A</v>
      </c>
      <c r="H160" s="7" t="e">
        <f t="shared" si="31"/>
        <v>#N/A</v>
      </c>
      <c r="I160" s="7" t="e">
        <f t="shared" si="32"/>
        <v>#N/A</v>
      </c>
      <c r="J160" s="8" t="e">
        <f t="shared" si="33"/>
        <v>#N/A</v>
      </c>
      <c r="K160" s="8" t="e">
        <f t="shared" si="34"/>
        <v>#N/A</v>
      </c>
    </row>
    <row r="161" spans="1:11" x14ac:dyDescent="0.25">
      <c r="A161" s="4" t="e">
        <f t="shared" si="35"/>
        <v>#N/A</v>
      </c>
      <c r="B161" s="4" t="e">
        <f t="shared" si="37"/>
        <v>#N/A</v>
      </c>
      <c r="C161" s="5" t="e">
        <f t="shared" si="38"/>
        <v>#N/A</v>
      </c>
      <c r="D161" s="7" t="e">
        <f t="shared" si="39"/>
        <v>#N/A</v>
      </c>
      <c r="E161" s="7" t="e">
        <f t="shared" si="36"/>
        <v>#N/A</v>
      </c>
      <c r="F161" s="7" t="e">
        <f t="shared" si="29"/>
        <v>#N/A</v>
      </c>
      <c r="G161" s="7" t="e">
        <f t="shared" si="30"/>
        <v>#N/A</v>
      </c>
      <c r="H161" s="7" t="e">
        <f t="shared" si="31"/>
        <v>#N/A</v>
      </c>
      <c r="I161" s="7" t="e">
        <f t="shared" si="32"/>
        <v>#N/A</v>
      </c>
      <c r="J161" s="8" t="e">
        <f t="shared" si="33"/>
        <v>#N/A</v>
      </c>
      <c r="K161" s="8" t="e">
        <f t="shared" si="34"/>
        <v>#N/A</v>
      </c>
    </row>
    <row r="162" spans="1:11" x14ac:dyDescent="0.25">
      <c r="A162" s="4" t="e">
        <f t="shared" si="35"/>
        <v>#N/A</v>
      </c>
      <c r="B162" s="4" t="e">
        <f t="shared" si="37"/>
        <v>#N/A</v>
      </c>
      <c r="C162" s="5" t="e">
        <f t="shared" si="38"/>
        <v>#N/A</v>
      </c>
      <c r="D162" s="7" t="e">
        <f t="shared" si="39"/>
        <v>#N/A</v>
      </c>
      <c r="E162" s="7" t="e">
        <f t="shared" si="36"/>
        <v>#N/A</v>
      </c>
      <c r="F162" s="7" t="e">
        <f t="shared" ref="F162:F193" si="40">IF(ISERROR(A163),NA(),"")</f>
        <v>#N/A</v>
      </c>
      <c r="G162" s="7" t="e">
        <f t="shared" ref="G162:G193" si="41">IF(ISERROR(A163),NA(),IF(A163&lt;=$E$11,MIN($E$25*E163,$E$26*$E$25*D163),0))</f>
        <v>#N/A</v>
      </c>
      <c r="H162" s="7" t="e">
        <f t="shared" ref="H162:H193" si="42">IF(ISERROR(A163),NA(),IF(ISERROR(B163),0,IF(AND(B163&gt;=$K$18,B163&lt;($K$18+$K$21)),$K$19*(1+$K$20)^(B163-$K$18),0)))</f>
        <v>#N/A</v>
      </c>
      <c r="I162" s="7" t="e">
        <f t="shared" ref="I162:I193" si="43">IF(ISERROR(A163),NA(),IF(B163&gt;=$E$9,D163-H162,0))</f>
        <v>#N/A</v>
      </c>
      <c r="J162" s="8" t="e">
        <f t="shared" ref="J162:J193" si="44">IF(ISERROR(A163),NA(),FV(C163/$E$43,$E$43,-(E163+G162)/$E$43,-(K161-I162*$E$44),0)-(K161+E163+G162-I162*$E$44))</f>
        <v>#N/A</v>
      </c>
      <c r="K162" s="8" t="e">
        <f t="shared" ref="K162:K193" si="45">IF(ISERROR(A163),NA(),K161+E163+G162+J162-I162)</f>
        <v>#N/A</v>
      </c>
    </row>
    <row r="163" spans="1:11" x14ac:dyDescent="0.25">
      <c r="A163" s="4" t="e">
        <f t="shared" ref="A163:A194" si="46">IF(OR(K161&lt;0,A162&gt;=($E$9-$E$8)+$E$10),NA(),A162+1)</f>
        <v>#N/A</v>
      </c>
      <c r="B163" s="4" t="e">
        <f t="shared" si="37"/>
        <v>#N/A</v>
      </c>
      <c r="C163" s="5" t="e">
        <f t="shared" si="38"/>
        <v>#N/A</v>
      </c>
      <c r="D163" s="7" t="e">
        <f t="shared" si="39"/>
        <v>#N/A</v>
      </c>
      <c r="E163" s="7" t="e">
        <f t="shared" ref="E163:E194" si="47">IF(ISERROR(A163),NA(),IF(B163=$E$9-1,$K$25)+IF(A163&lt;=$E$11,$E$24*D163,0))</f>
        <v>#N/A</v>
      </c>
      <c r="F163" s="7" t="e">
        <f t="shared" si="40"/>
        <v>#N/A</v>
      </c>
      <c r="G163" s="7" t="e">
        <f t="shared" si="41"/>
        <v>#N/A</v>
      </c>
      <c r="H163" s="7" t="e">
        <f t="shared" si="42"/>
        <v>#N/A</v>
      </c>
      <c r="I163" s="7" t="e">
        <f t="shared" si="43"/>
        <v>#N/A</v>
      </c>
      <c r="J163" s="8" t="e">
        <f t="shared" si="44"/>
        <v>#N/A</v>
      </c>
      <c r="K163" s="8" t="e">
        <f t="shared" si="45"/>
        <v>#N/A</v>
      </c>
    </row>
    <row r="164" spans="1:11" x14ac:dyDescent="0.25">
      <c r="A164" s="4" t="e">
        <f t="shared" si="46"/>
        <v>#N/A</v>
      </c>
      <c r="B164" s="4" t="e">
        <f t="shared" si="37"/>
        <v>#N/A</v>
      </c>
      <c r="C164" s="5" t="e">
        <f t="shared" si="38"/>
        <v>#N/A</v>
      </c>
      <c r="D164" s="7" t="e">
        <f t="shared" ref="D164:D195" si="48">IF(ISERROR(A164),NA(),IF(B164&gt;=$E$9,$K$9*(1+$E$16)^(B164-$E$9),(1+$E$21)*D163))</f>
        <v>#N/A</v>
      </c>
      <c r="E164" s="7" t="e">
        <f t="shared" si="47"/>
        <v>#N/A</v>
      </c>
      <c r="F164" s="7" t="e">
        <f t="shared" si="40"/>
        <v>#N/A</v>
      </c>
      <c r="G164" s="7" t="e">
        <f t="shared" si="41"/>
        <v>#N/A</v>
      </c>
      <c r="H164" s="7" t="e">
        <f t="shared" si="42"/>
        <v>#N/A</v>
      </c>
      <c r="I164" s="7" t="e">
        <f t="shared" si="43"/>
        <v>#N/A</v>
      </c>
      <c r="J164" s="8" t="e">
        <f t="shared" si="44"/>
        <v>#N/A</v>
      </c>
      <c r="K164" s="8" t="e">
        <f t="shared" si="45"/>
        <v>#N/A</v>
      </c>
    </row>
    <row r="165" spans="1:11" x14ac:dyDescent="0.25">
      <c r="A165" s="4" t="e">
        <f t="shared" si="46"/>
        <v>#N/A</v>
      </c>
      <c r="B165" s="4" t="e">
        <f t="shared" si="37"/>
        <v>#N/A</v>
      </c>
      <c r="C165" s="5" t="e">
        <f t="shared" si="38"/>
        <v>#N/A</v>
      </c>
      <c r="D165" s="7" t="e">
        <f t="shared" si="48"/>
        <v>#N/A</v>
      </c>
      <c r="E165" s="7" t="e">
        <f t="shared" si="47"/>
        <v>#N/A</v>
      </c>
      <c r="F165" s="7" t="e">
        <f t="shared" si="40"/>
        <v>#N/A</v>
      </c>
      <c r="G165" s="7" t="e">
        <f t="shared" si="41"/>
        <v>#N/A</v>
      </c>
      <c r="H165" s="7" t="e">
        <f t="shared" si="42"/>
        <v>#N/A</v>
      </c>
      <c r="I165" s="7" t="e">
        <f t="shared" si="43"/>
        <v>#N/A</v>
      </c>
      <c r="J165" s="8" t="e">
        <f t="shared" si="44"/>
        <v>#N/A</v>
      </c>
      <c r="K165" s="8" t="e">
        <f t="shared" si="45"/>
        <v>#N/A</v>
      </c>
    </row>
    <row r="166" spans="1:11" x14ac:dyDescent="0.25">
      <c r="A166" s="4" t="e">
        <f t="shared" si="46"/>
        <v>#N/A</v>
      </c>
      <c r="B166" s="4" t="e">
        <f t="shared" si="37"/>
        <v>#N/A</v>
      </c>
      <c r="C166" s="5" t="e">
        <f t="shared" si="38"/>
        <v>#N/A</v>
      </c>
      <c r="D166" s="7" t="e">
        <f t="shared" si="48"/>
        <v>#N/A</v>
      </c>
      <c r="E166" s="7" t="e">
        <f t="shared" si="47"/>
        <v>#N/A</v>
      </c>
      <c r="F166" s="7" t="e">
        <f t="shared" si="40"/>
        <v>#N/A</v>
      </c>
      <c r="G166" s="7" t="e">
        <f t="shared" si="41"/>
        <v>#N/A</v>
      </c>
      <c r="H166" s="7" t="e">
        <f t="shared" si="42"/>
        <v>#N/A</v>
      </c>
      <c r="I166" s="7" t="e">
        <f t="shared" si="43"/>
        <v>#N/A</v>
      </c>
      <c r="J166" s="8" t="e">
        <f t="shared" si="44"/>
        <v>#N/A</v>
      </c>
      <c r="K166" s="8" t="e">
        <f t="shared" si="45"/>
        <v>#N/A</v>
      </c>
    </row>
    <row r="167" spans="1:11" x14ac:dyDescent="0.25">
      <c r="A167" s="4" t="e">
        <f t="shared" si="46"/>
        <v>#N/A</v>
      </c>
      <c r="B167" s="4" t="e">
        <f t="shared" si="37"/>
        <v>#N/A</v>
      </c>
      <c r="C167" s="5" t="e">
        <f t="shared" si="38"/>
        <v>#N/A</v>
      </c>
      <c r="D167" s="7" t="e">
        <f t="shared" si="48"/>
        <v>#N/A</v>
      </c>
      <c r="E167" s="7" t="e">
        <f t="shared" si="47"/>
        <v>#N/A</v>
      </c>
      <c r="F167" s="7" t="e">
        <f t="shared" si="40"/>
        <v>#N/A</v>
      </c>
      <c r="G167" s="7" t="e">
        <f t="shared" si="41"/>
        <v>#N/A</v>
      </c>
      <c r="H167" s="7" t="e">
        <f t="shared" si="42"/>
        <v>#N/A</v>
      </c>
      <c r="I167" s="7" t="e">
        <f t="shared" si="43"/>
        <v>#N/A</v>
      </c>
      <c r="J167" s="8" t="e">
        <f t="shared" si="44"/>
        <v>#N/A</v>
      </c>
      <c r="K167" s="8" t="e">
        <f t="shared" si="45"/>
        <v>#N/A</v>
      </c>
    </row>
    <row r="168" spans="1:11" x14ac:dyDescent="0.25">
      <c r="A168" s="4" t="e">
        <f t="shared" si="46"/>
        <v>#N/A</v>
      </c>
      <c r="B168" s="4" t="e">
        <f t="shared" si="37"/>
        <v>#N/A</v>
      </c>
      <c r="C168" s="5" t="e">
        <f t="shared" si="38"/>
        <v>#N/A</v>
      </c>
      <c r="D168" s="7" t="e">
        <f t="shared" si="48"/>
        <v>#N/A</v>
      </c>
      <c r="E168" s="7" t="e">
        <f t="shared" si="47"/>
        <v>#N/A</v>
      </c>
      <c r="F168" s="7" t="e">
        <f t="shared" si="40"/>
        <v>#N/A</v>
      </c>
      <c r="G168" s="7" t="e">
        <f t="shared" si="41"/>
        <v>#N/A</v>
      </c>
      <c r="H168" s="7" t="e">
        <f t="shared" si="42"/>
        <v>#N/A</v>
      </c>
      <c r="I168" s="7" t="e">
        <f t="shared" si="43"/>
        <v>#N/A</v>
      </c>
      <c r="J168" s="8" t="e">
        <f t="shared" si="44"/>
        <v>#N/A</v>
      </c>
      <c r="K168" s="8" t="e">
        <f t="shared" si="45"/>
        <v>#N/A</v>
      </c>
    </row>
    <row r="169" spans="1:11" x14ac:dyDescent="0.25">
      <c r="A169" s="4" t="e">
        <f t="shared" si="46"/>
        <v>#N/A</v>
      </c>
      <c r="B169" s="4" t="e">
        <f t="shared" si="37"/>
        <v>#N/A</v>
      </c>
      <c r="C169" s="5" t="e">
        <f t="shared" si="38"/>
        <v>#N/A</v>
      </c>
      <c r="D169" s="7" t="e">
        <f t="shared" si="48"/>
        <v>#N/A</v>
      </c>
      <c r="E169" s="7" t="e">
        <f t="shared" si="47"/>
        <v>#N/A</v>
      </c>
      <c r="F169" s="7" t="e">
        <f t="shared" si="40"/>
        <v>#N/A</v>
      </c>
      <c r="G169" s="7" t="e">
        <f t="shared" si="41"/>
        <v>#N/A</v>
      </c>
      <c r="H169" s="7" t="e">
        <f t="shared" si="42"/>
        <v>#N/A</v>
      </c>
      <c r="I169" s="7" t="e">
        <f t="shared" si="43"/>
        <v>#N/A</v>
      </c>
      <c r="J169" s="8" t="e">
        <f t="shared" si="44"/>
        <v>#N/A</v>
      </c>
      <c r="K169" s="8" t="e">
        <f t="shared" si="45"/>
        <v>#N/A</v>
      </c>
    </row>
    <row r="170" spans="1:11" x14ac:dyDescent="0.25">
      <c r="A170" s="4" t="e">
        <f t="shared" si="46"/>
        <v>#N/A</v>
      </c>
      <c r="B170" s="4" t="e">
        <f t="shared" si="37"/>
        <v>#N/A</v>
      </c>
      <c r="C170" s="5" t="e">
        <f t="shared" si="38"/>
        <v>#N/A</v>
      </c>
      <c r="D170" s="7" t="e">
        <f t="shared" si="48"/>
        <v>#N/A</v>
      </c>
      <c r="E170" s="7" t="e">
        <f t="shared" si="47"/>
        <v>#N/A</v>
      </c>
      <c r="F170" s="7" t="e">
        <f t="shared" si="40"/>
        <v>#N/A</v>
      </c>
      <c r="G170" s="7" t="e">
        <f t="shared" si="41"/>
        <v>#N/A</v>
      </c>
      <c r="H170" s="7" t="e">
        <f t="shared" si="42"/>
        <v>#N/A</v>
      </c>
      <c r="I170" s="7" t="e">
        <f t="shared" si="43"/>
        <v>#N/A</v>
      </c>
      <c r="J170" s="8" t="e">
        <f t="shared" si="44"/>
        <v>#N/A</v>
      </c>
      <c r="K170" s="8" t="e">
        <f t="shared" si="45"/>
        <v>#N/A</v>
      </c>
    </row>
    <row r="171" spans="1:11" x14ac:dyDescent="0.25">
      <c r="A171" s="4" t="e">
        <f t="shared" si="46"/>
        <v>#N/A</v>
      </c>
      <c r="B171" s="4" t="e">
        <f t="shared" si="37"/>
        <v>#N/A</v>
      </c>
      <c r="C171" s="5" t="e">
        <f t="shared" si="38"/>
        <v>#N/A</v>
      </c>
      <c r="D171" s="7" t="e">
        <f t="shared" si="48"/>
        <v>#N/A</v>
      </c>
      <c r="E171" s="7" t="e">
        <f t="shared" si="47"/>
        <v>#N/A</v>
      </c>
      <c r="F171" s="7" t="e">
        <f t="shared" si="40"/>
        <v>#N/A</v>
      </c>
      <c r="G171" s="7" t="e">
        <f t="shared" si="41"/>
        <v>#N/A</v>
      </c>
      <c r="H171" s="7" t="e">
        <f t="shared" si="42"/>
        <v>#N/A</v>
      </c>
      <c r="I171" s="7" t="e">
        <f t="shared" si="43"/>
        <v>#N/A</v>
      </c>
      <c r="J171" s="8" t="e">
        <f t="shared" si="44"/>
        <v>#N/A</v>
      </c>
      <c r="K171" s="8" t="e">
        <f t="shared" si="45"/>
        <v>#N/A</v>
      </c>
    </row>
    <row r="172" spans="1:11" x14ac:dyDescent="0.25">
      <c r="A172" s="4" t="e">
        <f t="shared" si="46"/>
        <v>#N/A</v>
      </c>
      <c r="B172" s="4" t="e">
        <f t="shared" si="37"/>
        <v>#N/A</v>
      </c>
      <c r="C172" s="5" t="e">
        <f t="shared" si="38"/>
        <v>#N/A</v>
      </c>
      <c r="D172" s="7" t="e">
        <f t="shared" si="48"/>
        <v>#N/A</v>
      </c>
      <c r="E172" s="7" t="e">
        <f t="shared" si="47"/>
        <v>#N/A</v>
      </c>
      <c r="F172" s="7" t="e">
        <f t="shared" si="40"/>
        <v>#N/A</v>
      </c>
      <c r="G172" s="7" t="e">
        <f t="shared" si="41"/>
        <v>#N/A</v>
      </c>
      <c r="H172" s="7" t="e">
        <f t="shared" si="42"/>
        <v>#N/A</v>
      </c>
      <c r="I172" s="7" t="e">
        <f t="shared" si="43"/>
        <v>#N/A</v>
      </c>
      <c r="J172" s="8" t="e">
        <f t="shared" si="44"/>
        <v>#N/A</v>
      </c>
      <c r="K172" s="8" t="e">
        <f t="shared" si="45"/>
        <v>#N/A</v>
      </c>
    </row>
    <row r="173" spans="1:11" x14ac:dyDescent="0.25">
      <c r="A173" s="4" t="e">
        <f t="shared" si="46"/>
        <v>#N/A</v>
      </c>
      <c r="B173" s="4" t="e">
        <f t="shared" si="37"/>
        <v>#N/A</v>
      </c>
      <c r="C173" s="5" t="e">
        <f t="shared" si="38"/>
        <v>#N/A</v>
      </c>
      <c r="D173" s="7" t="e">
        <f t="shared" si="48"/>
        <v>#N/A</v>
      </c>
      <c r="E173" s="7" t="e">
        <f t="shared" si="47"/>
        <v>#N/A</v>
      </c>
      <c r="F173" s="7" t="e">
        <f t="shared" si="40"/>
        <v>#N/A</v>
      </c>
      <c r="G173" s="7" t="e">
        <f t="shared" si="41"/>
        <v>#N/A</v>
      </c>
      <c r="H173" s="7" t="e">
        <f t="shared" si="42"/>
        <v>#N/A</v>
      </c>
      <c r="I173" s="7" t="e">
        <f t="shared" si="43"/>
        <v>#N/A</v>
      </c>
      <c r="J173" s="8" t="e">
        <f t="shared" si="44"/>
        <v>#N/A</v>
      </c>
      <c r="K173" s="8" t="e">
        <f t="shared" si="45"/>
        <v>#N/A</v>
      </c>
    </row>
    <row r="174" spans="1:11" x14ac:dyDescent="0.25">
      <c r="A174" s="4" t="e">
        <f t="shared" si="46"/>
        <v>#N/A</v>
      </c>
      <c r="B174" s="4" t="e">
        <f t="shared" si="37"/>
        <v>#N/A</v>
      </c>
      <c r="C174" s="5" t="e">
        <f t="shared" si="38"/>
        <v>#N/A</v>
      </c>
      <c r="D174" s="7" t="e">
        <f t="shared" si="48"/>
        <v>#N/A</v>
      </c>
      <c r="E174" s="7" t="e">
        <f t="shared" si="47"/>
        <v>#N/A</v>
      </c>
      <c r="F174" s="7" t="e">
        <f t="shared" si="40"/>
        <v>#N/A</v>
      </c>
      <c r="G174" s="7" t="e">
        <f t="shared" si="41"/>
        <v>#N/A</v>
      </c>
      <c r="H174" s="7" t="e">
        <f t="shared" si="42"/>
        <v>#N/A</v>
      </c>
      <c r="I174" s="7" t="e">
        <f t="shared" si="43"/>
        <v>#N/A</v>
      </c>
      <c r="J174" s="8" t="e">
        <f t="shared" si="44"/>
        <v>#N/A</v>
      </c>
      <c r="K174" s="8" t="e">
        <f t="shared" si="45"/>
        <v>#N/A</v>
      </c>
    </row>
    <row r="175" spans="1:11" x14ac:dyDescent="0.25">
      <c r="A175" s="4" t="e">
        <f t="shared" si="46"/>
        <v>#N/A</v>
      </c>
      <c r="B175" s="4" t="e">
        <f t="shared" si="37"/>
        <v>#N/A</v>
      </c>
      <c r="C175" s="5" t="e">
        <f t="shared" si="38"/>
        <v>#N/A</v>
      </c>
      <c r="D175" s="7" t="e">
        <f t="shared" si="48"/>
        <v>#N/A</v>
      </c>
      <c r="E175" s="7" t="e">
        <f t="shared" si="47"/>
        <v>#N/A</v>
      </c>
      <c r="F175" s="7" t="e">
        <f t="shared" si="40"/>
        <v>#N/A</v>
      </c>
      <c r="G175" s="7" t="e">
        <f t="shared" si="41"/>
        <v>#N/A</v>
      </c>
      <c r="H175" s="7" t="e">
        <f t="shared" si="42"/>
        <v>#N/A</v>
      </c>
      <c r="I175" s="7" t="e">
        <f t="shared" si="43"/>
        <v>#N/A</v>
      </c>
      <c r="J175" s="8" t="e">
        <f t="shared" si="44"/>
        <v>#N/A</v>
      </c>
      <c r="K175" s="8" t="e">
        <f t="shared" si="45"/>
        <v>#N/A</v>
      </c>
    </row>
    <row r="176" spans="1:11" x14ac:dyDescent="0.25">
      <c r="A176" s="4" t="e">
        <f t="shared" si="46"/>
        <v>#N/A</v>
      </c>
      <c r="B176" s="4" t="e">
        <f t="shared" si="37"/>
        <v>#N/A</v>
      </c>
      <c r="C176" s="5" t="e">
        <f t="shared" si="38"/>
        <v>#N/A</v>
      </c>
      <c r="D176" s="7" t="e">
        <f t="shared" si="48"/>
        <v>#N/A</v>
      </c>
      <c r="E176" s="7" t="e">
        <f t="shared" si="47"/>
        <v>#N/A</v>
      </c>
      <c r="F176" s="7" t="e">
        <f t="shared" si="40"/>
        <v>#N/A</v>
      </c>
      <c r="G176" s="7" t="e">
        <f t="shared" si="41"/>
        <v>#N/A</v>
      </c>
      <c r="H176" s="7" t="e">
        <f t="shared" si="42"/>
        <v>#N/A</v>
      </c>
      <c r="I176" s="7" t="e">
        <f t="shared" si="43"/>
        <v>#N/A</v>
      </c>
      <c r="J176" s="8" t="e">
        <f t="shared" si="44"/>
        <v>#N/A</v>
      </c>
      <c r="K176" s="8" t="e">
        <f t="shared" si="45"/>
        <v>#N/A</v>
      </c>
    </row>
    <row r="177" spans="1:11" x14ac:dyDescent="0.25">
      <c r="A177" s="4" t="e">
        <f t="shared" si="46"/>
        <v>#N/A</v>
      </c>
      <c r="B177" s="4" t="e">
        <f t="shared" si="37"/>
        <v>#N/A</v>
      </c>
      <c r="C177" s="5" t="e">
        <f t="shared" si="38"/>
        <v>#N/A</v>
      </c>
      <c r="D177" s="7" t="e">
        <f t="shared" si="48"/>
        <v>#N/A</v>
      </c>
      <c r="E177" s="7" t="e">
        <f t="shared" si="47"/>
        <v>#N/A</v>
      </c>
      <c r="F177" s="7" t="e">
        <f t="shared" si="40"/>
        <v>#N/A</v>
      </c>
      <c r="G177" s="7" t="e">
        <f t="shared" si="41"/>
        <v>#N/A</v>
      </c>
      <c r="H177" s="7" t="e">
        <f t="shared" si="42"/>
        <v>#N/A</v>
      </c>
      <c r="I177" s="7" t="e">
        <f t="shared" si="43"/>
        <v>#N/A</v>
      </c>
      <c r="J177" s="8" t="e">
        <f t="shared" si="44"/>
        <v>#N/A</v>
      </c>
      <c r="K177" s="8" t="e">
        <f t="shared" si="45"/>
        <v>#N/A</v>
      </c>
    </row>
    <row r="178" spans="1:11" x14ac:dyDescent="0.25">
      <c r="A178" s="4" t="e">
        <f t="shared" si="46"/>
        <v>#N/A</v>
      </c>
      <c r="B178" s="4" t="e">
        <f t="shared" si="37"/>
        <v>#N/A</v>
      </c>
      <c r="C178" s="5" t="e">
        <f t="shared" si="38"/>
        <v>#N/A</v>
      </c>
      <c r="D178" s="7" t="e">
        <f t="shared" si="48"/>
        <v>#N/A</v>
      </c>
      <c r="E178" s="7" t="e">
        <f t="shared" si="47"/>
        <v>#N/A</v>
      </c>
      <c r="F178" s="7" t="e">
        <f t="shared" si="40"/>
        <v>#N/A</v>
      </c>
      <c r="G178" s="7" t="e">
        <f t="shared" si="41"/>
        <v>#N/A</v>
      </c>
      <c r="H178" s="7" t="e">
        <f t="shared" si="42"/>
        <v>#N/A</v>
      </c>
      <c r="I178" s="7" t="e">
        <f t="shared" si="43"/>
        <v>#N/A</v>
      </c>
      <c r="J178" s="8" t="e">
        <f t="shared" si="44"/>
        <v>#N/A</v>
      </c>
      <c r="K178" s="8" t="e">
        <f t="shared" si="45"/>
        <v>#N/A</v>
      </c>
    </row>
    <row r="179" spans="1:11" x14ac:dyDescent="0.25">
      <c r="A179" s="4" t="e">
        <f t="shared" si="46"/>
        <v>#N/A</v>
      </c>
      <c r="B179" s="4" t="e">
        <f t="shared" si="37"/>
        <v>#N/A</v>
      </c>
      <c r="C179" s="5" t="e">
        <f t="shared" si="38"/>
        <v>#N/A</v>
      </c>
      <c r="D179" s="7" t="e">
        <f t="shared" si="48"/>
        <v>#N/A</v>
      </c>
      <c r="E179" s="7" t="e">
        <f t="shared" si="47"/>
        <v>#N/A</v>
      </c>
      <c r="F179" s="7" t="e">
        <f t="shared" si="40"/>
        <v>#N/A</v>
      </c>
      <c r="G179" s="7" t="e">
        <f t="shared" si="41"/>
        <v>#N/A</v>
      </c>
      <c r="H179" s="7" t="e">
        <f t="shared" si="42"/>
        <v>#N/A</v>
      </c>
      <c r="I179" s="7" t="e">
        <f t="shared" si="43"/>
        <v>#N/A</v>
      </c>
      <c r="J179" s="8" t="e">
        <f t="shared" si="44"/>
        <v>#N/A</v>
      </c>
      <c r="K179" s="8" t="e">
        <f t="shared" si="45"/>
        <v>#N/A</v>
      </c>
    </row>
    <row r="180" spans="1:11" x14ac:dyDescent="0.25">
      <c r="A180" s="4" t="e">
        <f t="shared" si="46"/>
        <v>#N/A</v>
      </c>
      <c r="B180" s="4" t="e">
        <f t="shared" si="37"/>
        <v>#N/A</v>
      </c>
      <c r="C180" s="5" t="e">
        <f t="shared" si="38"/>
        <v>#N/A</v>
      </c>
      <c r="D180" s="7" t="e">
        <f t="shared" si="48"/>
        <v>#N/A</v>
      </c>
      <c r="E180" s="7" t="e">
        <f t="shared" si="47"/>
        <v>#N/A</v>
      </c>
      <c r="F180" s="7" t="e">
        <f t="shared" si="40"/>
        <v>#N/A</v>
      </c>
      <c r="G180" s="7" t="e">
        <f t="shared" si="41"/>
        <v>#N/A</v>
      </c>
      <c r="H180" s="7" t="e">
        <f t="shared" si="42"/>
        <v>#N/A</v>
      </c>
      <c r="I180" s="7" t="e">
        <f t="shared" si="43"/>
        <v>#N/A</v>
      </c>
      <c r="J180" s="8" t="e">
        <f t="shared" si="44"/>
        <v>#N/A</v>
      </c>
      <c r="K180" s="8" t="e">
        <f t="shared" si="45"/>
        <v>#N/A</v>
      </c>
    </row>
    <row r="181" spans="1:11" x14ac:dyDescent="0.25">
      <c r="A181" s="4" t="e">
        <f t="shared" si="46"/>
        <v>#N/A</v>
      </c>
      <c r="B181" s="4" t="e">
        <f t="shared" si="37"/>
        <v>#N/A</v>
      </c>
      <c r="C181" s="5" t="e">
        <f t="shared" si="38"/>
        <v>#N/A</v>
      </c>
      <c r="D181" s="7" t="e">
        <f t="shared" si="48"/>
        <v>#N/A</v>
      </c>
      <c r="E181" s="7" t="e">
        <f t="shared" si="47"/>
        <v>#N/A</v>
      </c>
      <c r="F181" s="7" t="e">
        <f t="shared" si="40"/>
        <v>#N/A</v>
      </c>
      <c r="G181" s="7" t="e">
        <f t="shared" si="41"/>
        <v>#N/A</v>
      </c>
      <c r="H181" s="7" t="e">
        <f t="shared" si="42"/>
        <v>#N/A</v>
      </c>
      <c r="I181" s="7" t="e">
        <f t="shared" si="43"/>
        <v>#N/A</v>
      </c>
      <c r="J181" s="8" t="e">
        <f t="shared" si="44"/>
        <v>#N/A</v>
      </c>
      <c r="K181" s="8" t="e">
        <f t="shared" si="45"/>
        <v>#N/A</v>
      </c>
    </row>
    <row r="182" spans="1:11" x14ac:dyDescent="0.25">
      <c r="A182" s="4" t="e">
        <f t="shared" si="46"/>
        <v>#N/A</v>
      </c>
      <c r="B182" s="4" t="e">
        <f t="shared" si="37"/>
        <v>#N/A</v>
      </c>
      <c r="C182" s="5" t="e">
        <f t="shared" si="38"/>
        <v>#N/A</v>
      </c>
      <c r="D182" s="7" t="e">
        <f t="shared" si="48"/>
        <v>#N/A</v>
      </c>
      <c r="E182" s="7" t="e">
        <f t="shared" si="47"/>
        <v>#N/A</v>
      </c>
      <c r="F182" s="7" t="e">
        <f t="shared" si="40"/>
        <v>#N/A</v>
      </c>
      <c r="G182" s="7" t="e">
        <f t="shared" si="41"/>
        <v>#N/A</v>
      </c>
      <c r="H182" s="7" t="e">
        <f t="shared" si="42"/>
        <v>#N/A</v>
      </c>
      <c r="I182" s="7" t="e">
        <f t="shared" si="43"/>
        <v>#N/A</v>
      </c>
      <c r="J182" s="8" t="e">
        <f t="shared" si="44"/>
        <v>#N/A</v>
      </c>
      <c r="K182" s="8" t="e">
        <f t="shared" si="45"/>
        <v>#N/A</v>
      </c>
    </row>
    <row r="183" spans="1:11" x14ac:dyDescent="0.25">
      <c r="A183" s="4" t="e">
        <f t="shared" si="46"/>
        <v>#N/A</v>
      </c>
      <c r="B183" s="4" t="e">
        <f t="shared" si="37"/>
        <v>#N/A</v>
      </c>
      <c r="C183" s="5" t="e">
        <f t="shared" si="38"/>
        <v>#N/A</v>
      </c>
      <c r="D183" s="7" t="e">
        <f t="shared" si="48"/>
        <v>#N/A</v>
      </c>
      <c r="E183" s="7" t="e">
        <f t="shared" si="47"/>
        <v>#N/A</v>
      </c>
      <c r="F183" s="7" t="e">
        <f t="shared" si="40"/>
        <v>#N/A</v>
      </c>
      <c r="G183" s="7" t="e">
        <f t="shared" si="41"/>
        <v>#N/A</v>
      </c>
      <c r="H183" s="7" t="e">
        <f t="shared" si="42"/>
        <v>#N/A</v>
      </c>
      <c r="I183" s="7" t="e">
        <f t="shared" si="43"/>
        <v>#N/A</v>
      </c>
      <c r="J183" s="8" t="e">
        <f t="shared" si="44"/>
        <v>#N/A</v>
      </c>
      <c r="K183" s="8" t="e">
        <f t="shared" si="45"/>
        <v>#N/A</v>
      </c>
    </row>
    <row r="184" spans="1:11" x14ac:dyDescent="0.25">
      <c r="A184" s="4" t="e">
        <f t="shared" si="46"/>
        <v>#N/A</v>
      </c>
      <c r="B184" s="4" t="e">
        <f t="shared" si="37"/>
        <v>#N/A</v>
      </c>
      <c r="C184" s="5" t="e">
        <f t="shared" si="38"/>
        <v>#N/A</v>
      </c>
      <c r="D184" s="7" t="e">
        <f t="shared" si="48"/>
        <v>#N/A</v>
      </c>
      <c r="E184" s="7" t="e">
        <f t="shared" si="47"/>
        <v>#N/A</v>
      </c>
      <c r="F184" s="7" t="e">
        <f t="shared" si="40"/>
        <v>#N/A</v>
      </c>
      <c r="G184" s="7" t="e">
        <f t="shared" si="41"/>
        <v>#N/A</v>
      </c>
      <c r="H184" s="7" t="e">
        <f t="shared" si="42"/>
        <v>#N/A</v>
      </c>
      <c r="I184" s="7" t="e">
        <f t="shared" si="43"/>
        <v>#N/A</v>
      </c>
      <c r="J184" s="8" t="e">
        <f t="shared" si="44"/>
        <v>#N/A</v>
      </c>
      <c r="K184" s="8" t="e">
        <f t="shared" si="45"/>
        <v>#N/A</v>
      </c>
    </row>
    <row r="185" spans="1:11" x14ac:dyDescent="0.25">
      <c r="A185" s="4" t="e">
        <f t="shared" si="46"/>
        <v>#N/A</v>
      </c>
      <c r="B185" s="4" t="e">
        <f t="shared" si="37"/>
        <v>#N/A</v>
      </c>
      <c r="C185" s="5" t="e">
        <f t="shared" si="38"/>
        <v>#N/A</v>
      </c>
      <c r="D185" s="7" t="e">
        <f t="shared" si="48"/>
        <v>#N/A</v>
      </c>
      <c r="E185" s="7" t="e">
        <f t="shared" si="47"/>
        <v>#N/A</v>
      </c>
      <c r="F185" s="7" t="e">
        <f t="shared" si="40"/>
        <v>#N/A</v>
      </c>
      <c r="G185" s="7" t="e">
        <f t="shared" si="41"/>
        <v>#N/A</v>
      </c>
      <c r="H185" s="7" t="e">
        <f t="shared" si="42"/>
        <v>#N/A</v>
      </c>
      <c r="I185" s="7" t="e">
        <f t="shared" si="43"/>
        <v>#N/A</v>
      </c>
      <c r="J185" s="8" t="e">
        <f t="shared" si="44"/>
        <v>#N/A</v>
      </c>
      <c r="K185" s="8" t="e">
        <f t="shared" si="45"/>
        <v>#N/A</v>
      </c>
    </row>
    <row r="186" spans="1:11" x14ac:dyDescent="0.25">
      <c r="A186" s="4" t="e">
        <f t="shared" si="46"/>
        <v>#N/A</v>
      </c>
      <c r="B186" s="4" t="e">
        <f t="shared" si="37"/>
        <v>#N/A</v>
      </c>
      <c r="C186" s="5" t="e">
        <f t="shared" si="38"/>
        <v>#N/A</v>
      </c>
      <c r="D186" s="7" t="e">
        <f t="shared" si="48"/>
        <v>#N/A</v>
      </c>
      <c r="E186" s="7" t="e">
        <f t="shared" si="47"/>
        <v>#N/A</v>
      </c>
      <c r="F186" s="7" t="e">
        <f t="shared" si="40"/>
        <v>#N/A</v>
      </c>
      <c r="G186" s="7" t="e">
        <f t="shared" si="41"/>
        <v>#N/A</v>
      </c>
      <c r="H186" s="7" t="e">
        <f t="shared" si="42"/>
        <v>#N/A</v>
      </c>
      <c r="I186" s="7" t="e">
        <f t="shared" si="43"/>
        <v>#N/A</v>
      </c>
      <c r="J186" s="8" t="e">
        <f t="shared" si="44"/>
        <v>#N/A</v>
      </c>
      <c r="K186" s="8" t="e">
        <f t="shared" si="45"/>
        <v>#N/A</v>
      </c>
    </row>
    <row r="187" spans="1:11" x14ac:dyDescent="0.25">
      <c r="A187" s="4" t="e">
        <f t="shared" si="46"/>
        <v>#N/A</v>
      </c>
      <c r="B187" s="4" t="e">
        <f t="shared" si="37"/>
        <v>#N/A</v>
      </c>
      <c r="C187" s="5" t="e">
        <f t="shared" si="38"/>
        <v>#N/A</v>
      </c>
      <c r="D187" s="7" t="e">
        <f t="shared" si="48"/>
        <v>#N/A</v>
      </c>
      <c r="E187" s="7" t="e">
        <f t="shared" si="47"/>
        <v>#N/A</v>
      </c>
      <c r="F187" s="7" t="e">
        <f t="shared" si="40"/>
        <v>#N/A</v>
      </c>
      <c r="G187" s="7" t="e">
        <f t="shared" si="41"/>
        <v>#N/A</v>
      </c>
      <c r="H187" s="7" t="e">
        <f t="shared" si="42"/>
        <v>#N/A</v>
      </c>
      <c r="I187" s="7" t="e">
        <f t="shared" si="43"/>
        <v>#N/A</v>
      </c>
      <c r="J187" s="8" t="e">
        <f t="shared" si="44"/>
        <v>#N/A</v>
      </c>
      <c r="K187" s="8" t="e">
        <f t="shared" si="45"/>
        <v>#N/A</v>
      </c>
    </row>
    <row r="188" spans="1:11" x14ac:dyDescent="0.25">
      <c r="A188" s="4" t="e">
        <f t="shared" si="46"/>
        <v>#N/A</v>
      </c>
      <c r="B188" s="4" t="e">
        <f t="shared" si="37"/>
        <v>#N/A</v>
      </c>
      <c r="C188" s="5" t="e">
        <f t="shared" si="38"/>
        <v>#N/A</v>
      </c>
      <c r="D188" s="7" t="e">
        <f t="shared" si="48"/>
        <v>#N/A</v>
      </c>
      <c r="E188" s="7" t="e">
        <f t="shared" si="47"/>
        <v>#N/A</v>
      </c>
      <c r="F188" s="7" t="e">
        <f t="shared" si="40"/>
        <v>#N/A</v>
      </c>
      <c r="G188" s="7" t="e">
        <f t="shared" si="41"/>
        <v>#N/A</v>
      </c>
      <c r="H188" s="7" t="e">
        <f t="shared" si="42"/>
        <v>#N/A</v>
      </c>
      <c r="I188" s="7" t="e">
        <f t="shared" si="43"/>
        <v>#N/A</v>
      </c>
      <c r="J188" s="8" t="e">
        <f t="shared" si="44"/>
        <v>#N/A</v>
      </c>
      <c r="K188" s="8" t="e">
        <f t="shared" si="45"/>
        <v>#N/A</v>
      </c>
    </row>
    <row r="189" spans="1:11" x14ac:dyDescent="0.25">
      <c r="A189" s="4" t="e">
        <f t="shared" si="46"/>
        <v>#N/A</v>
      </c>
      <c r="B189" s="4" t="e">
        <f t="shared" si="37"/>
        <v>#N/A</v>
      </c>
      <c r="C189" s="5" t="e">
        <f t="shared" si="38"/>
        <v>#N/A</v>
      </c>
      <c r="D189" s="7" t="e">
        <f t="shared" si="48"/>
        <v>#N/A</v>
      </c>
      <c r="E189" s="7" t="e">
        <f t="shared" si="47"/>
        <v>#N/A</v>
      </c>
      <c r="F189" s="7" t="e">
        <f t="shared" si="40"/>
        <v>#N/A</v>
      </c>
      <c r="G189" s="7" t="e">
        <f t="shared" si="41"/>
        <v>#N/A</v>
      </c>
      <c r="H189" s="7" t="e">
        <f t="shared" si="42"/>
        <v>#N/A</v>
      </c>
      <c r="I189" s="7" t="e">
        <f t="shared" si="43"/>
        <v>#N/A</v>
      </c>
      <c r="J189" s="8" t="e">
        <f t="shared" si="44"/>
        <v>#N/A</v>
      </c>
      <c r="K189" s="8" t="e">
        <f t="shared" si="45"/>
        <v>#N/A</v>
      </c>
    </row>
    <row r="190" spans="1:11" x14ac:dyDescent="0.25">
      <c r="A190" s="4" t="e">
        <f t="shared" si="46"/>
        <v>#N/A</v>
      </c>
      <c r="B190" s="4" t="e">
        <f t="shared" si="37"/>
        <v>#N/A</v>
      </c>
      <c r="C190" s="5" t="e">
        <f t="shared" si="38"/>
        <v>#N/A</v>
      </c>
      <c r="D190" s="7" t="e">
        <f t="shared" si="48"/>
        <v>#N/A</v>
      </c>
      <c r="E190" s="7" t="e">
        <f t="shared" si="47"/>
        <v>#N/A</v>
      </c>
      <c r="F190" s="7" t="e">
        <f t="shared" si="40"/>
        <v>#N/A</v>
      </c>
      <c r="G190" s="7" t="e">
        <f t="shared" si="41"/>
        <v>#N/A</v>
      </c>
      <c r="H190" s="7" t="e">
        <f t="shared" si="42"/>
        <v>#N/A</v>
      </c>
      <c r="I190" s="7" t="e">
        <f t="shared" si="43"/>
        <v>#N/A</v>
      </c>
      <c r="J190" s="8" t="e">
        <f t="shared" si="44"/>
        <v>#N/A</v>
      </c>
      <c r="K190" s="8" t="e">
        <f t="shared" si="45"/>
        <v>#N/A</v>
      </c>
    </row>
    <row r="191" spans="1:11" x14ac:dyDescent="0.25">
      <c r="A191" s="4" t="e">
        <f t="shared" si="46"/>
        <v>#N/A</v>
      </c>
      <c r="B191" s="4" t="e">
        <f t="shared" si="37"/>
        <v>#N/A</v>
      </c>
      <c r="C191" s="5" t="e">
        <f t="shared" si="38"/>
        <v>#N/A</v>
      </c>
      <c r="D191" s="7" t="e">
        <f t="shared" si="48"/>
        <v>#N/A</v>
      </c>
      <c r="E191" s="7" t="e">
        <f t="shared" si="47"/>
        <v>#N/A</v>
      </c>
      <c r="F191" s="7" t="e">
        <f t="shared" si="40"/>
        <v>#N/A</v>
      </c>
      <c r="G191" s="7" t="e">
        <f t="shared" si="41"/>
        <v>#N/A</v>
      </c>
      <c r="H191" s="7" t="e">
        <f t="shared" si="42"/>
        <v>#N/A</v>
      </c>
      <c r="I191" s="7" t="e">
        <f t="shared" si="43"/>
        <v>#N/A</v>
      </c>
      <c r="J191" s="8" t="e">
        <f t="shared" si="44"/>
        <v>#N/A</v>
      </c>
      <c r="K191" s="8" t="e">
        <f t="shared" si="45"/>
        <v>#N/A</v>
      </c>
    </row>
    <row r="192" spans="1:11" x14ac:dyDescent="0.25">
      <c r="A192" s="4" t="e">
        <f t="shared" si="46"/>
        <v>#N/A</v>
      </c>
      <c r="B192" s="4" t="e">
        <f t="shared" si="37"/>
        <v>#N/A</v>
      </c>
      <c r="C192" s="5" t="e">
        <f t="shared" si="38"/>
        <v>#N/A</v>
      </c>
      <c r="D192" s="7" t="e">
        <f t="shared" si="48"/>
        <v>#N/A</v>
      </c>
      <c r="E192" s="7" t="e">
        <f t="shared" si="47"/>
        <v>#N/A</v>
      </c>
      <c r="F192" s="7" t="e">
        <f t="shared" si="40"/>
        <v>#N/A</v>
      </c>
      <c r="G192" s="7" t="e">
        <f t="shared" si="41"/>
        <v>#N/A</v>
      </c>
      <c r="H192" s="7" t="e">
        <f t="shared" si="42"/>
        <v>#N/A</v>
      </c>
      <c r="I192" s="7" t="e">
        <f t="shared" si="43"/>
        <v>#N/A</v>
      </c>
      <c r="J192" s="8" t="e">
        <f t="shared" si="44"/>
        <v>#N/A</v>
      </c>
      <c r="K192" s="8" t="e">
        <f t="shared" si="45"/>
        <v>#N/A</v>
      </c>
    </row>
    <row r="193" spans="1:11" x14ac:dyDescent="0.25">
      <c r="A193" s="4" t="e">
        <f t="shared" si="46"/>
        <v>#N/A</v>
      </c>
      <c r="B193" s="4" t="e">
        <f t="shared" si="37"/>
        <v>#N/A</v>
      </c>
      <c r="C193" s="5" t="e">
        <f t="shared" si="38"/>
        <v>#N/A</v>
      </c>
      <c r="D193" s="7" t="e">
        <f t="shared" si="48"/>
        <v>#N/A</v>
      </c>
      <c r="E193" s="7" t="e">
        <f t="shared" si="47"/>
        <v>#N/A</v>
      </c>
      <c r="F193" s="7" t="e">
        <f t="shared" si="40"/>
        <v>#N/A</v>
      </c>
      <c r="G193" s="7" t="e">
        <f t="shared" si="41"/>
        <v>#N/A</v>
      </c>
      <c r="H193" s="7" t="e">
        <f t="shared" si="42"/>
        <v>#N/A</v>
      </c>
      <c r="I193" s="7" t="e">
        <f t="shared" si="43"/>
        <v>#N/A</v>
      </c>
      <c r="J193" s="8" t="e">
        <f t="shared" si="44"/>
        <v>#N/A</v>
      </c>
      <c r="K193" s="8" t="e">
        <f t="shared" si="45"/>
        <v>#N/A</v>
      </c>
    </row>
    <row r="194" spans="1:11" x14ac:dyDescent="0.25">
      <c r="A194" s="4" t="e">
        <f t="shared" si="46"/>
        <v>#N/A</v>
      </c>
      <c r="B194" s="4" t="e">
        <f t="shared" si="37"/>
        <v>#N/A</v>
      </c>
      <c r="C194" s="5" t="e">
        <f t="shared" si="38"/>
        <v>#N/A</v>
      </c>
      <c r="D194" s="7" t="e">
        <f t="shared" si="48"/>
        <v>#N/A</v>
      </c>
      <c r="E194" s="7" t="e">
        <f t="shared" si="47"/>
        <v>#N/A</v>
      </c>
      <c r="F194" s="7" t="e">
        <f t="shared" ref="F194:F204" si="49">IF(ISERROR(A195),NA(),"")</f>
        <v>#N/A</v>
      </c>
      <c r="G194" s="7" t="e">
        <f t="shared" ref="G194:G204" si="50">IF(ISERROR(A195),NA(),IF(A195&lt;=$E$11,MIN($E$25*E195,$E$26*$E$25*D195),0))</f>
        <v>#N/A</v>
      </c>
      <c r="H194" s="7" t="e">
        <f t="shared" ref="H194:H204" si="51">IF(ISERROR(A195),NA(),IF(ISERROR(B195),0,IF(AND(B195&gt;=$K$18,B195&lt;($K$18+$K$21)),$K$19*(1+$K$20)^(B195-$K$18),0)))</f>
        <v>#N/A</v>
      </c>
      <c r="I194" s="7" t="e">
        <f t="shared" ref="I194:I204" si="52">IF(ISERROR(A195),NA(),IF(B195&gt;=$E$9,D195-H194,0))</f>
        <v>#N/A</v>
      </c>
      <c r="J194" s="8" t="e">
        <f t="shared" ref="J194:J204" si="53">IF(ISERROR(A195),NA(),FV(C195/$E$43,$E$43,-(E195+G194)/$E$43,-(K193-I194*$E$44),0)-(K193+E195+G194-I194*$E$44))</f>
        <v>#N/A</v>
      </c>
      <c r="K194" s="8" t="e">
        <f t="shared" ref="K194:K204" si="54">IF(ISERROR(A195),NA(),K193+E195+G194+J194-I194)</f>
        <v>#N/A</v>
      </c>
    </row>
    <row r="195" spans="1:11" x14ac:dyDescent="0.25">
      <c r="A195" s="4" t="e">
        <f t="shared" ref="A195:A205" si="55">IF(OR(K193&lt;0,A194&gt;=($E$9-$E$8)+$E$10),NA(),A194+1)</f>
        <v>#N/A</v>
      </c>
      <c r="B195" s="4" t="e">
        <f t="shared" si="37"/>
        <v>#N/A</v>
      </c>
      <c r="C195" s="5" t="e">
        <f t="shared" si="38"/>
        <v>#N/A</v>
      </c>
      <c r="D195" s="7" t="e">
        <f t="shared" si="48"/>
        <v>#N/A</v>
      </c>
      <c r="E195" s="7" t="e">
        <f t="shared" ref="E195:E205" si="56">IF(ISERROR(A195),NA(),IF(B195=$E$9-1,$K$25)+IF(A195&lt;=$E$11,$E$24*D195,0))</f>
        <v>#N/A</v>
      </c>
      <c r="F195" s="7" t="e">
        <f t="shared" si="49"/>
        <v>#N/A</v>
      </c>
      <c r="G195" s="7" t="e">
        <f t="shared" si="50"/>
        <v>#N/A</v>
      </c>
      <c r="H195" s="7" t="e">
        <f t="shared" si="51"/>
        <v>#N/A</v>
      </c>
      <c r="I195" s="7" t="e">
        <f t="shared" si="52"/>
        <v>#N/A</v>
      </c>
      <c r="J195" s="8" t="e">
        <f t="shared" si="53"/>
        <v>#N/A</v>
      </c>
      <c r="K195" s="8" t="e">
        <f t="shared" si="54"/>
        <v>#N/A</v>
      </c>
    </row>
    <row r="196" spans="1:11" x14ac:dyDescent="0.25">
      <c r="A196" s="4" t="e">
        <f t="shared" si="55"/>
        <v>#N/A</v>
      </c>
      <c r="B196" s="4" t="e">
        <f t="shared" ref="B196:B205" si="57">IF(ISERROR(A196),NA(),$E$8+A196-1)</f>
        <v>#N/A</v>
      </c>
      <c r="C196" s="5" t="e">
        <f t="shared" ref="C196:C205" si="58">IF(ISERROR(A196),NA(),IF(B196&lt;$E$9,$E$14,$E$15))</f>
        <v>#N/A</v>
      </c>
      <c r="D196" s="7" t="e">
        <f t="shared" ref="D196:D205" si="59">IF(ISERROR(A196),NA(),IF(B196&gt;=$E$9,$K$9*(1+$E$16)^(B196-$E$9),(1+$E$21)*D195))</f>
        <v>#N/A</v>
      </c>
      <c r="E196" s="7" t="e">
        <f t="shared" si="56"/>
        <v>#N/A</v>
      </c>
      <c r="F196" s="7" t="e">
        <f t="shared" si="49"/>
        <v>#N/A</v>
      </c>
      <c r="G196" s="7" t="e">
        <f t="shared" si="50"/>
        <v>#N/A</v>
      </c>
      <c r="H196" s="7" t="e">
        <f t="shared" si="51"/>
        <v>#N/A</v>
      </c>
      <c r="I196" s="7" t="e">
        <f t="shared" si="52"/>
        <v>#N/A</v>
      </c>
      <c r="J196" s="8" t="e">
        <f t="shared" si="53"/>
        <v>#N/A</v>
      </c>
      <c r="K196" s="8" t="e">
        <f t="shared" si="54"/>
        <v>#N/A</v>
      </c>
    </row>
    <row r="197" spans="1:11" x14ac:dyDescent="0.25">
      <c r="A197" s="4" t="e">
        <f t="shared" si="55"/>
        <v>#N/A</v>
      </c>
      <c r="B197" s="4" t="e">
        <f t="shared" si="57"/>
        <v>#N/A</v>
      </c>
      <c r="C197" s="5" t="e">
        <f t="shared" si="58"/>
        <v>#N/A</v>
      </c>
      <c r="D197" s="7" t="e">
        <f t="shared" si="59"/>
        <v>#N/A</v>
      </c>
      <c r="E197" s="7" t="e">
        <f t="shared" si="56"/>
        <v>#N/A</v>
      </c>
      <c r="F197" s="7" t="e">
        <f t="shared" si="49"/>
        <v>#N/A</v>
      </c>
      <c r="G197" s="7" t="e">
        <f t="shared" si="50"/>
        <v>#N/A</v>
      </c>
      <c r="H197" s="7" t="e">
        <f t="shared" si="51"/>
        <v>#N/A</v>
      </c>
      <c r="I197" s="7" t="e">
        <f t="shared" si="52"/>
        <v>#N/A</v>
      </c>
      <c r="J197" s="8" t="e">
        <f t="shared" si="53"/>
        <v>#N/A</v>
      </c>
      <c r="K197" s="8" t="e">
        <f t="shared" si="54"/>
        <v>#N/A</v>
      </c>
    </row>
    <row r="198" spans="1:11" x14ac:dyDescent="0.25">
      <c r="A198" s="4" t="e">
        <f t="shared" si="55"/>
        <v>#N/A</v>
      </c>
      <c r="B198" s="4" t="e">
        <f t="shared" si="57"/>
        <v>#N/A</v>
      </c>
      <c r="C198" s="5" t="e">
        <f t="shared" si="58"/>
        <v>#N/A</v>
      </c>
      <c r="D198" s="7" t="e">
        <f t="shared" si="59"/>
        <v>#N/A</v>
      </c>
      <c r="E198" s="7" t="e">
        <f t="shared" si="56"/>
        <v>#N/A</v>
      </c>
      <c r="F198" s="7" t="e">
        <f t="shared" si="49"/>
        <v>#N/A</v>
      </c>
      <c r="G198" s="7" t="e">
        <f t="shared" si="50"/>
        <v>#N/A</v>
      </c>
      <c r="H198" s="7" t="e">
        <f t="shared" si="51"/>
        <v>#N/A</v>
      </c>
      <c r="I198" s="7" t="e">
        <f t="shared" si="52"/>
        <v>#N/A</v>
      </c>
      <c r="J198" s="8" t="e">
        <f t="shared" si="53"/>
        <v>#N/A</v>
      </c>
      <c r="K198" s="8" t="e">
        <f t="shared" si="54"/>
        <v>#N/A</v>
      </c>
    </row>
    <row r="199" spans="1:11" x14ac:dyDescent="0.25">
      <c r="A199" s="4" t="e">
        <f t="shared" si="55"/>
        <v>#N/A</v>
      </c>
      <c r="B199" s="4" t="e">
        <f t="shared" si="57"/>
        <v>#N/A</v>
      </c>
      <c r="C199" s="5" t="e">
        <f t="shared" si="58"/>
        <v>#N/A</v>
      </c>
      <c r="D199" s="7" t="e">
        <f t="shared" si="59"/>
        <v>#N/A</v>
      </c>
      <c r="E199" s="7" t="e">
        <f t="shared" si="56"/>
        <v>#N/A</v>
      </c>
      <c r="F199" s="7" t="e">
        <f t="shared" si="49"/>
        <v>#N/A</v>
      </c>
      <c r="G199" s="7" t="e">
        <f t="shared" si="50"/>
        <v>#N/A</v>
      </c>
      <c r="H199" s="7" t="e">
        <f t="shared" si="51"/>
        <v>#N/A</v>
      </c>
      <c r="I199" s="7" t="e">
        <f t="shared" si="52"/>
        <v>#N/A</v>
      </c>
      <c r="J199" s="8" t="e">
        <f t="shared" si="53"/>
        <v>#N/A</v>
      </c>
      <c r="K199" s="8" t="e">
        <f t="shared" si="54"/>
        <v>#N/A</v>
      </c>
    </row>
    <row r="200" spans="1:11" x14ac:dyDescent="0.25">
      <c r="A200" s="4" t="e">
        <f t="shared" si="55"/>
        <v>#N/A</v>
      </c>
      <c r="B200" s="4" t="e">
        <f t="shared" si="57"/>
        <v>#N/A</v>
      </c>
      <c r="C200" s="5" t="e">
        <f t="shared" si="58"/>
        <v>#N/A</v>
      </c>
      <c r="D200" s="7" t="e">
        <f t="shared" si="59"/>
        <v>#N/A</v>
      </c>
      <c r="E200" s="7" t="e">
        <f t="shared" si="56"/>
        <v>#N/A</v>
      </c>
      <c r="F200" s="7" t="e">
        <f t="shared" si="49"/>
        <v>#N/A</v>
      </c>
      <c r="G200" s="7" t="e">
        <f t="shared" si="50"/>
        <v>#N/A</v>
      </c>
      <c r="H200" s="7" t="e">
        <f t="shared" si="51"/>
        <v>#N/A</v>
      </c>
      <c r="I200" s="7" t="e">
        <f t="shared" si="52"/>
        <v>#N/A</v>
      </c>
      <c r="J200" s="8" t="e">
        <f t="shared" si="53"/>
        <v>#N/A</v>
      </c>
      <c r="K200" s="8" t="e">
        <f t="shared" si="54"/>
        <v>#N/A</v>
      </c>
    </row>
    <row r="201" spans="1:11" x14ac:dyDescent="0.25">
      <c r="A201" s="4" t="e">
        <f t="shared" si="55"/>
        <v>#N/A</v>
      </c>
      <c r="B201" s="4" t="e">
        <f t="shared" si="57"/>
        <v>#N/A</v>
      </c>
      <c r="C201" s="5" t="e">
        <f t="shared" si="58"/>
        <v>#N/A</v>
      </c>
      <c r="D201" s="7" t="e">
        <f t="shared" si="59"/>
        <v>#N/A</v>
      </c>
      <c r="E201" s="7" t="e">
        <f t="shared" si="56"/>
        <v>#N/A</v>
      </c>
      <c r="F201" s="7" t="e">
        <f t="shared" si="49"/>
        <v>#N/A</v>
      </c>
      <c r="G201" s="7" t="e">
        <f t="shared" si="50"/>
        <v>#N/A</v>
      </c>
      <c r="H201" s="7" t="e">
        <f t="shared" si="51"/>
        <v>#N/A</v>
      </c>
      <c r="I201" s="7" t="e">
        <f t="shared" si="52"/>
        <v>#N/A</v>
      </c>
      <c r="J201" s="8" t="e">
        <f t="shared" si="53"/>
        <v>#N/A</v>
      </c>
      <c r="K201" s="8" t="e">
        <f t="shared" si="54"/>
        <v>#N/A</v>
      </c>
    </row>
    <row r="202" spans="1:11" x14ac:dyDescent="0.25">
      <c r="A202" s="4" t="e">
        <f t="shared" si="55"/>
        <v>#N/A</v>
      </c>
      <c r="B202" s="4" t="e">
        <f t="shared" si="57"/>
        <v>#N/A</v>
      </c>
      <c r="C202" s="5" t="e">
        <f t="shared" si="58"/>
        <v>#N/A</v>
      </c>
      <c r="D202" s="7" t="e">
        <f t="shared" si="59"/>
        <v>#N/A</v>
      </c>
      <c r="E202" s="7" t="e">
        <f t="shared" si="56"/>
        <v>#N/A</v>
      </c>
      <c r="F202" s="7" t="e">
        <f t="shared" si="49"/>
        <v>#N/A</v>
      </c>
      <c r="G202" s="7" t="e">
        <f t="shared" si="50"/>
        <v>#N/A</v>
      </c>
      <c r="H202" s="7" t="e">
        <f t="shared" si="51"/>
        <v>#N/A</v>
      </c>
      <c r="I202" s="7" t="e">
        <f t="shared" si="52"/>
        <v>#N/A</v>
      </c>
      <c r="J202" s="8" t="e">
        <f t="shared" si="53"/>
        <v>#N/A</v>
      </c>
      <c r="K202" s="8" t="e">
        <f t="shared" si="54"/>
        <v>#N/A</v>
      </c>
    </row>
    <row r="203" spans="1:11" x14ac:dyDescent="0.25">
      <c r="A203" s="4" t="e">
        <f t="shared" si="55"/>
        <v>#N/A</v>
      </c>
      <c r="B203" s="4" t="e">
        <f t="shared" si="57"/>
        <v>#N/A</v>
      </c>
      <c r="C203" s="5" t="e">
        <f t="shared" si="58"/>
        <v>#N/A</v>
      </c>
      <c r="D203" s="7" t="e">
        <f t="shared" si="59"/>
        <v>#N/A</v>
      </c>
      <c r="E203" s="7" t="e">
        <f t="shared" si="56"/>
        <v>#N/A</v>
      </c>
      <c r="F203" s="7" t="e">
        <f t="shared" si="49"/>
        <v>#N/A</v>
      </c>
      <c r="G203" s="7" t="e">
        <f t="shared" si="50"/>
        <v>#N/A</v>
      </c>
      <c r="H203" s="7" t="e">
        <f t="shared" si="51"/>
        <v>#N/A</v>
      </c>
      <c r="I203" s="7" t="e">
        <f t="shared" si="52"/>
        <v>#N/A</v>
      </c>
      <c r="J203" s="8" t="e">
        <f t="shared" si="53"/>
        <v>#N/A</v>
      </c>
      <c r="K203" s="8" t="e">
        <f t="shared" si="54"/>
        <v>#N/A</v>
      </c>
    </row>
    <row r="204" spans="1:11" x14ac:dyDescent="0.25">
      <c r="A204" s="4" t="e">
        <f t="shared" si="55"/>
        <v>#N/A</v>
      </c>
      <c r="B204" s="4" t="e">
        <f t="shared" si="57"/>
        <v>#N/A</v>
      </c>
      <c r="C204" s="5" t="e">
        <f t="shared" si="58"/>
        <v>#N/A</v>
      </c>
      <c r="D204" s="7" t="e">
        <f t="shared" si="59"/>
        <v>#N/A</v>
      </c>
      <c r="E204" s="7" t="e">
        <f t="shared" si="56"/>
        <v>#N/A</v>
      </c>
      <c r="F204" s="7" t="e">
        <f t="shared" si="49"/>
        <v>#N/A</v>
      </c>
      <c r="G204" s="7" t="e">
        <f t="shared" si="50"/>
        <v>#N/A</v>
      </c>
      <c r="H204" s="7" t="e">
        <f t="shared" si="51"/>
        <v>#N/A</v>
      </c>
      <c r="I204" s="7" t="e">
        <f t="shared" si="52"/>
        <v>#N/A</v>
      </c>
      <c r="J204" s="8" t="e">
        <f t="shared" si="53"/>
        <v>#N/A</v>
      </c>
      <c r="K204" s="8" t="e">
        <f t="shared" si="54"/>
        <v>#N/A</v>
      </c>
    </row>
    <row r="205" spans="1:11" x14ac:dyDescent="0.25">
      <c r="A205" s="4" t="e">
        <f t="shared" si="55"/>
        <v>#N/A</v>
      </c>
      <c r="B205" s="4" t="e">
        <f t="shared" si="57"/>
        <v>#N/A</v>
      </c>
      <c r="C205" s="5" t="e">
        <f t="shared" si="58"/>
        <v>#N/A</v>
      </c>
      <c r="D205" s="7" t="e">
        <f t="shared" si="59"/>
        <v>#N/A</v>
      </c>
      <c r="E205" s="7" t="e">
        <f t="shared" si="56"/>
        <v>#N/A</v>
      </c>
      <c r="F205" s="34"/>
      <c r="G205" s="34"/>
      <c r="H205" s="34"/>
      <c r="I205" s="34"/>
      <c r="J205" s="34"/>
      <c r="K205" s="34"/>
    </row>
    <row r="206" spans="1:11" x14ac:dyDescent="0.25">
      <c r="A206" s="34"/>
      <c r="B206" s="34"/>
      <c r="C206" s="34"/>
      <c r="D206" s="34"/>
      <c r="E206" s="34"/>
    </row>
  </sheetData>
  <mergeCells count="2">
    <mergeCell ref="B3:E3"/>
    <mergeCell ref="H3:I3"/>
  </mergeCells>
  <conditionalFormatting sqref="E14:E16">
    <cfRule type="expression" dxfId="5" priority="4" stopIfTrue="1">
      <formula>randrate</formula>
    </cfRule>
  </conditionalFormatting>
  <conditionalFormatting sqref="F130:K204 A131:E205 F49:K123 A50:E124">
    <cfRule type="expression" dxfId="4" priority="5" stopIfTrue="1">
      <formula>ISERROR(A49)</formula>
    </cfRule>
    <cfRule type="expression" dxfId="3" priority="6" stopIfTrue="1">
      <formula>MOD(ROW(),2)=1</formula>
    </cfRule>
  </conditionalFormatting>
  <conditionalFormatting sqref="K20">
    <cfRule type="expression" dxfId="2" priority="3" stopIfTrue="1">
      <formula>randrate</formula>
    </cfRule>
  </conditionalFormatting>
  <conditionalFormatting sqref="K18">
    <cfRule type="cellIs" dxfId="1" priority="2" operator="lessThan">
      <formula>$E$9</formula>
    </cfRule>
  </conditionalFormatting>
  <conditionalFormatting sqref="E9">
    <cfRule type="cellIs" dxfId="0" priority="1" operator="lessThan">
      <formula>$E$8</formula>
    </cfRule>
  </conditionalFormatting>
  <dataValidations count="2">
    <dataValidation type="list" allowBlank="1" showInputMessage="1" showErrorMessage="1" sqref="E44" xr:uid="{2559FA6C-4726-4399-9A3E-03538B3956A7}">
      <formula1>"0,1"</formula1>
    </dataValidation>
    <dataValidation type="list" allowBlank="1" showInputMessage="1" showErrorMessage="1" sqref="E43" xr:uid="{FED8AA73-0579-492C-A118-591ADC64AD24}">
      <formula1>"12,24,26,52,13,4,2,1"</formula1>
    </dataValidation>
  </dataValidations>
  <hyperlinks>
    <hyperlink ref="M7" r:id="rId1" display="https://www.vertex42.com/Calculators/retirement-calculator.html" xr:uid="{094C4A52-672A-48EC-843F-FDEFE6126AAB}"/>
    <hyperlink ref="M12" r:id="rId2" xr:uid="{3BD973AE-DFDE-485F-85BC-E1BA759CCE0F}"/>
  </hyperlinks>
  <printOptions horizontalCentered="1"/>
  <pageMargins left="0.5" right="0.5" top="0.5" bottom="0.5" header="0.5" footer="0.25"/>
  <pageSetup scale="93" fitToHeight="0" orientation="portrait" r:id="rId3"/>
  <headerFooter scaleWithDoc="0">
    <firstFooter>&amp;R&amp;"Arial,Regular"&amp;8Page &amp;P of &amp;N</firstFooter>
  </headerFooter>
  <drawing r:id="rId4"/>
  <legacy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70039-1C35-4D8C-937B-E9FAAE0954D4}">
  <dimension ref="A1:D11"/>
  <sheetViews>
    <sheetView workbookViewId="0">
      <selection activeCell="A5" sqref="A5"/>
    </sheetView>
  </sheetViews>
  <sheetFormatPr defaultRowHeight="12.5" x14ac:dyDescent="0.25"/>
  <cols>
    <col min="1" max="1" width="16.08984375" bestFit="1" customWidth="1"/>
    <col min="2" max="2" width="9.6328125" customWidth="1"/>
    <col min="3" max="3" width="11.36328125" bestFit="1" customWidth="1"/>
    <col min="4" max="4" width="10.36328125" bestFit="1" customWidth="1"/>
  </cols>
  <sheetData>
    <row r="1" spans="1:4" x14ac:dyDescent="0.25">
      <c r="A1" s="115"/>
      <c r="B1" s="115" t="s">
        <v>108</v>
      </c>
      <c r="C1" s="115" t="s">
        <v>109</v>
      </c>
    </row>
    <row r="2" spans="1:4" x14ac:dyDescent="0.25">
      <c r="A2" t="s">
        <v>104</v>
      </c>
      <c r="B2" s="108">
        <v>0.1</v>
      </c>
      <c r="C2" s="111">
        <f>$C$7*B2</f>
        <v>75000</v>
      </c>
    </row>
    <row r="3" spans="1:4" x14ac:dyDescent="0.25">
      <c r="A3" t="s">
        <v>106</v>
      </c>
      <c r="B3" s="108">
        <v>0.15</v>
      </c>
      <c r="C3" s="111">
        <f>$C$7*B3</f>
        <v>112500</v>
      </c>
    </row>
    <row r="4" spans="1:4" x14ac:dyDescent="0.25">
      <c r="A4" t="s">
        <v>105</v>
      </c>
      <c r="B4" s="108">
        <v>0.35</v>
      </c>
      <c r="C4" s="111">
        <f>$C$7*B4</f>
        <v>262500</v>
      </c>
    </row>
    <row r="5" spans="1:4" x14ac:dyDescent="0.25">
      <c r="A5" t="s">
        <v>110</v>
      </c>
      <c r="B5" s="108">
        <v>0.3</v>
      </c>
      <c r="C5" s="111">
        <f>$C$7*B5</f>
        <v>225000</v>
      </c>
    </row>
    <row r="6" spans="1:4" s="87" customFormat="1" x14ac:dyDescent="0.25">
      <c r="A6" s="87" t="s">
        <v>111</v>
      </c>
      <c r="B6" s="108">
        <v>0.1</v>
      </c>
      <c r="C6" s="111">
        <f>$C$7*B6</f>
        <v>75000</v>
      </c>
    </row>
    <row r="7" spans="1:4" x14ac:dyDescent="0.25">
      <c r="A7" s="112" t="s">
        <v>107</v>
      </c>
      <c r="B7" s="113">
        <f>SUM(B2:B6)</f>
        <v>0.99999999999999989</v>
      </c>
      <c r="C7" s="114">
        <v>750000</v>
      </c>
    </row>
    <row r="10" spans="1:4" x14ac:dyDescent="0.25">
      <c r="A10" s="127" t="s">
        <v>112</v>
      </c>
      <c r="B10" s="127"/>
      <c r="C10" s="127"/>
      <c r="D10" s="127"/>
    </row>
    <row r="11" spans="1:4" x14ac:dyDescent="0.25">
      <c r="A11" s="126" t="s">
        <v>113</v>
      </c>
      <c r="B11" s="126"/>
      <c r="C11" s="126"/>
      <c r="D11" s="116">
        <v>5500</v>
      </c>
    </row>
  </sheetData>
  <mergeCells count="2">
    <mergeCell ref="A11:C11"/>
    <mergeCell ref="A10:D10"/>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6842E-6857-4B6E-925B-F039E591DC61}">
  <dimension ref="A1:F50"/>
  <sheetViews>
    <sheetView workbookViewId="0">
      <selection activeCell="A25" sqref="A25"/>
    </sheetView>
  </sheetViews>
  <sheetFormatPr defaultRowHeight="12.5" x14ac:dyDescent="0.25"/>
  <cols>
    <col min="1" max="1" width="20.81640625" bestFit="1" customWidth="1"/>
    <col min="3" max="4" width="10.36328125" bestFit="1" customWidth="1"/>
    <col min="5" max="5" width="11" bestFit="1" customWidth="1"/>
    <col min="6" max="6" width="10.36328125" bestFit="1" customWidth="1"/>
  </cols>
  <sheetData>
    <row r="1" spans="1:6" x14ac:dyDescent="0.25">
      <c r="A1" s="127" t="s">
        <v>114</v>
      </c>
      <c r="B1" s="127"/>
      <c r="C1" s="127"/>
    </row>
    <row r="2" spans="1:6" x14ac:dyDescent="0.25">
      <c r="A2" t="s">
        <v>115</v>
      </c>
      <c r="B2" s="109">
        <v>0.05</v>
      </c>
      <c r="C2" s="110">
        <f>$C$6*B2</f>
        <v>3750</v>
      </c>
    </row>
    <row r="3" spans="1:6" x14ac:dyDescent="0.25">
      <c r="A3" t="s">
        <v>104</v>
      </c>
      <c r="B3" s="109">
        <v>0.75</v>
      </c>
      <c r="C3" s="110">
        <f>$C$6*B3</f>
        <v>56250</v>
      </c>
    </row>
    <row r="4" spans="1:6" x14ac:dyDescent="0.25">
      <c r="A4" t="s">
        <v>116</v>
      </c>
      <c r="B4" s="109">
        <v>0.15</v>
      </c>
      <c r="C4" s="110">
        <f>$C$6*B4</f>
        <v>11250</v>
      </c>
      <c r="D4" s="124">
        <f>C4*33.3333%</f>
        <v>3749.9962499999997</v>
      </c>
    </row>
    <row r="5" spans="1:6" x14ac:dyDescent="0.25">
      <c r="A5" t="s">
        <v>117</v>
      </c>
      <c r="B5" s="109">
        <v>0.05</v>
      </c>
      <c r="C5" s="110">
        <f>$C$6*B5</f>
        <v>3750</v>
      </c>
    </row>
    <row r="6" spans="1:6" x14ac:dyDescent="0.25">
      <c r="A6" s="112" t="s">
        <v>118</v>
      </c>
      <c r="B6" s="113">
        <f>SUM(B2:B5)</f>
        <v>1</v>
      </c>
      <c r="C6" s="114">
        <f>'Net-worth Allocation'!C2</f>
        <v>75000</v>
      </c>
    </row>
    <row r="7" spans="1:6" x14ac:dyDescent="0.25">
      <c r="B7" s="109"/>
    </row>
    <row r="8" spans="1:6" x14ac:dyDescent="0.25">
      <c r="B8" s="109"/>
    </row>
    <row r="10" spans="1:6" x14ac:dyDescent="0.25">
      <c r="A10" t="s">
        <v>138</v>
      </c>
      <c r="B10" s="119">
        <f>C3</f>
        <v>56250</v>
      </c>
    </row>
    <row r="11" spans="1:6" x14ac:dyDescent="0.25">
      <c r="A11" s="47"/>
      <c r="B11" s="120"/>
      <c r="C11" s="47" t="s">
        <v>136</v>
      </c>
      <c r="D11" s="47"/>
      <c r="E11" s="47" t="s">
        <v>137</v>
      </c>
      <c r="F11" s="47"/>
    </row>
    <row r="12" spans="1:6" x14ac:dyDescent="0.25">
      <c r="A12" t="s">
        <v>119</v>
      </c>
      <c r="B12" s="120" t="s">
        <v>120</v>
      </c>
      <c r="C12" s="117">
        <v>0.1</v>
      </c>
      <c r="D12" s="118">
        <f t="shared" ref="D12:D19" si="0">$B$10*C12</f>
        <v>5625</v>
      </c>
      <c r="E12" s="36">
        <f>C12*33.3333%</f>
        <v>3.3333300000000003E-2</v>
      </c>
      <c r="F12" s="118">
        <f t="shared" ref="F12:F19" si="1">$B$10*E12</f>
        <v>1874.9981250000001</v>
      </c>
    </row>
    <row r="13" spans="1:6" x14ac:dyDescent="0.25">
      <c r="A13" t="s">
        <v>121</v>
      </c>
      <c r="B13" s="47" t="s">
        <v>122</v>
      </c>
      <c r="C13" s="117">
        <v>0.1</v>
      </c>
      <c r="D13" s="118">
        <f t="shared" si="0"/>
        <v>5625</v>
      </c>
      <c r="E13" s="36">
        <f t="shared" ref="E13:E19" si="2">C13*33.3333%</f>
        <v>3.3333300000000003E-2</v>
      </c>
      <c r="F13" s="118">
        <f t="shared" si="1"/>
        <v>1874.9981250000001</v>
      </c>
    </row>
    <row r="14" spans="1:6" x14ac:dyDescent="0.25">
      <c r="A14" t="s">
        <v>123</v>
      </c>
      <c r="B14" s="47" t="s">
        <v>124</v>
      </c>
      <c r="C14" s="117">
        <v>0.1</v>
      </c>
      <c r="D14" s="118">
        <f t="shared" si="0"/>
        <v>5625</v>
      </c>
      <c r="E14" s="36">
        <f t="shared" si="2"/>
        <v>3.3333300000000003E-2</v>
      </c>
      <c r="F14" s="118">
        <f t="shared" si="1"/>
        <v>1874.9981250000001</v>
      </c>
    </row>
    <row r="15" spans="1:6" x14ac:dyDescent="0.25">
      <c r="A15" t="s">
        <v>125</v>
      </c>
      <c r="B15" s="120" t="s">
        <v>126</v>
      </c>
      <c r="C15" s="117">
        <v>0.2</v>
      </c>
      <c r="D15" s="118">
        <f t="shared" si="0"/>
        <v>11250</v>
      </c>
      <c r="E15" s="36">
        <f t="shared" si="2"/>
        <v>6.6666600000000006E-2</v>
      </c>
      <c r="F15" s="118">
        <f t="shared" si="1"/>
        <v>3749.9962500000001</v>
      </c>
    </row>
    <row r="16" spans="1:6" x14ac:dyDescent="0.25">
      <c r="A16" t="s">
        <v>135</v>
      </c>
      <c r="B16" s="120" t="s">
        <v>127</v>
      </c>
      <c r="C16" s="117">
        <v>0.1</v>
      </c>
      <c r="D16" s="118">
        <f t="shared" si="0"/>
        <v>5625</v>
      </c>
      <c r="E16" s="36">
        <f t="shared" si="2"/>
        <v>3.3333300000000003E-2</v>
      </c>
      <c r="F16" s="118">
        <f t="shared" si="1"/>
        <v>1874.9981250000001</v>
      </c>
    </row>
    <row r="17" spans="1:6" x14ac:dyDescent="0.25">
      <c r="A17" t="s">
        <v>128</v>
      </c>
      <c r="B17" s="120" t="s">
        <v>129</v>
      </c>
      <c r="C17" s="117">
        <v>0.1</v>
      </c>
      <c r="D17" s="118">
        <f t="shared" si="0"/>
        <v>5625</v>
      </c>
      <c r="E17" s="36">
        <f t="shared" si="2"/>
        <v>3.3333300000000003E-2</v>
      </c>
      <c r="F17" s="118">
        <f t="shared" si="1"/>
        <v>1874.9981250000001</v>
      </c>
    </row>
    <row r="18" spans="1:6" x14ac:dyDescent="0.25">
      <c r="A18" t="s">
        <v>130</v>
      </c>
      <c r="B18" s="120" t="s">
        <v>131</v>
      </c>
      <c r="C18" s="117">
        <v>0.15</v>
      </c>
      <c r="D18" s="118">
        <f t="shared" si="0"/>
        <v>8437.5</v>
      </c>
      <c r="E18" s="36">
        <f t="shared" si="2"/>
        <v>4.9999949999999994E-2</v>
      </c>
      <c r="F18" s="118">
        <f t="shared" si="1"/>
        <v>2812.4971874999997</v>
      </c>
    </row>
    <row r="19" spans="1:6" x14ac:dyDescent="0.25">
      <c r="A19" t="s">
        <v>133</v>
      </c>
      <c r="B19" s="120" t="s">
        <v>132</v>
      </c>
      <c r="C19" s="117">
        <v>0.15</v>
      </c>
      <c r="D19" s="118">
        <f t="shared" si="0"/>
        <v>8437.5</v>
      </c>
      <c r="E19" s="36">
        <f t="shared" si="2"/>
        <v>4.9999949999999994E-2</v>
      </c>
      <c r="F19" s="118">
        <f t="shared" si="1"/>
        <v>2812.4971874999997</v>
      </c>
    </row>
    <row r="20" spans="1:6" x14ac:dyDescent="0.25">
      <c r="A20" s="47"/>
      <c r="B20" s="47"/>
      <c r="C20" s="121">
        <f>SUM(C12:C19)</f>
        <v>1</v>
      </c>
      <c r="D20" s="122">
        <f>SUM(D12:D19)</f>
        <v>56250</v>
      </c>
      <c r="E20" s="123">
        <f>SUM(E12:E19)</f>
        <v>0.33333300000000005</v>
      </c>
      <c r="F20" s="122">
        <f>SUM(F12:F19)</f>
        <v>18749.981250000001</v>
      </c>
    </row>
    <row r="23" spans="1:6" x14ac:dyDescent="0.25">
      <c r="A23" t="s">
        <v>115</v>
      </c>
      <c r="C23" s="117">
        <v>0.05</v>
      </c>
      <c r="D23" s="118">
        <f>$B$10*C23</f>
        <v>2812.5</v>
      </c>
      <c r="E23" s="36">
        <f>C23*33.3333%</f>
        <v>1.6666650000000002E-2</v>
      </c>
      <c r="F23" s="118">
        <f>$B$10*E23</f>
        <v>937.49906250000004</v>
      </c>
    </row>
    <row r="24" spans="1:6" x14ac:dyDescent="0.25">
      <c r="A24" t="s">
        <v>134</v>
      </c>
      <c r="C24" s="117">
        <v>0.15</v>
      </c>
      <c r="D24" s="118">
        <f>$B$10*C24</f>
        <v>8437.5</v>
      </c>
      <c r="E24" s="36">
        <f>C24*33.3333%</f>
        <v>4.9999949999999994E-2</v>
      </c>
      <c r="F24" s="118">
        <f>$B$10*E24</f>
        <v>2812.4971874999997</v>
      </c>
    </row>
    <row r="27" spans="1:6" s="87" customFormat="1" x14ac:dyDescent="0.25">
      <c r="A27" s="87" t="s">
        <v>138</v>
      </c>
      <c r="B27" s="119">
        <f>C6</f>
        <v>75000</v>
      </c>
    </row>
    <row r="28" spans="1:6" s="87" customFormat="1" x14ac:dyDescent="0.25">
      <c r="A28" s="47"/>
      <c r="B28" s="120"/>
      <c r="C28" s="47" t="s">
        <v>136</v>
      </c>
      <c r="D28" s="47"/>
      <c r="E28" s="47" t="s">
        <v>137</v>
      </c>
      <c r="F28" s="47"/>
    </row>
    <row r="29" spans="1:6" s="87" customFormat="1" x14ac:dyDescent="0.25">
      <c r="A29" s="87" t="s">
        <v>139</v>
      </c>
      <c r="B29" s="87" t="s">
        <v>140</v>
      </c>
      <c r="C29" s="117">
        <v>0.1</v>
      </c>
      <c r="D29" s="118">
        <f>$B$27*C29</f>
        <v>7500</v>
      </c>
      <c r="E29" s="36">
        <f>C29*33.3333%</f>
        <v>3.3333300000000003E-2</v>
      </c>
      <c r="F29" s="118">
        <f>$B$27*E29</f>
        <v>2499.9975000000004</v>
      </c>
    </row>
    <row r="30" spans="1:6" s="87" customFormat="1" x14ac:dyDescent="0.25">
      <c r="A30" s="87" t="s">
        <v>141</v>
      </c>
      <c r="B30" s="87" t="s">
        <v>142</v>
      </c>
      <c r="C30" s="117">
        <v>0.1</v>
      </c>
      <c r="D30" s="118">
        <f t="shared" ref="D30:D40" si="3">$B$27*C30</f>
        <v>7500</v>
      </c>
      <c r="E30" s="36">
        <f t="shared" ref="E30:E36" si="4">C30*33.3333%</f>
        <v>3.3333300000000003E-2</v>
      </c>
      <c r="F30" s="118">
        <f t="shared" ref="F30:F40" si="5">$B$27*E30</f>
        <v>2499.9975000000004</v>
      </c>
    </row>
    <row r="31" spans="1:6" s="87" customFormat="1" x14ac:dyDescent="0.25">
      <c r="A31" s="87" t="s">
        <v>143</v>
      </c>
      <c r="B31" s="87" t="s">
        <v>144</v>
      </c>
      <c r="C31" s="117">
        <v>0.1</v>
      </c>
      <c r="D31" s="118">
        <f t="shared" si="3"/>
        <v>7500</v>
      </c>
      <c r="E31" s="36">
        <f t="shared" si="4"/>
        <v>3.3333300000000003E-2</v>
      </c>
      <c r="F31" s="118">
        <f t="shared" si="5"/>
        <v>2499.9975000000004</v>
      </c>
    </row>
    <row r="32" spans="1:6" s="87" customFormat="1" x14ac:dyDescent="0.25">
      <c r="A32" s="87" t="s">
        <v>105</v>
      </c>
      <c r="B32" s="87" t="s">
        <v>145</v>
      </c>
      <c r="C32" s="117">
        <v>0.1</v>
      </c>
      <c r="D32" s="118">
        <f t="shared" si="3"/>
        <v>7500</v>
      </c>
      <c r="E32" s="36">
        <f t="shared" si="4"/>
        <v>3.3333300000000003E-2</v>
      </c>
      <c r="F32" s="118">
        <f t="shared" si="5"/>
        <v>2499.9975000000004</v>
      </c>
    </row>
    <row r="33" spans="1:6" s="87" customFormat="1" x14ac:dyDescent="0.25">
      <c r="A33" s="87" t="s">
        <v>148</v>
      </c>
      <c r="B33" s="87" t="s">
        <v>147</v>
      </c>
      <c r="C33" s="117">
        <v>0.1</v>
      </c>
      <c r="D33" s="118">
        <f t="shared" si="3"/>
        <v>7500</v>
      </c>
      <c r="E33" s="36">
        <f t="shared" si="4"/>
        <v>3.3333300000000003E-2</v>
      </c>
      <c r="F33" s="118">
        <f t="shared" si="5"/>
        <v>2499.9975000000004</v>
      </c>
    </row>
    <row r="34" spans="1:6" s="87" customFormat="1" x14ac:dyDescent="0.25">
      <c r="A34" s="87" t="s">
        <v>150</v>
      </c>
      <c r="B34" s="87" t="s">
        <v>149</v>
      </c>
      <c r="C34" s="117">
        <v>0.1</v>
      </c>
      <c r="D34" s="118">
        <f t="shared" si="3"/>
        <v>7500</v>
      </c>
      <c r="E34" s="36">
        <f t="shared" si="4"/>
        <v>3.3333300000000003E-2</v>
      </c>
      <c r="F34" s="118">
        <f t="shared" si="5"/>
        <v>2499.9975000000004</v>
      </c>
    </row>
    <row r="35" spans="1:6" s="87" customFormat="1" x14ac:dyDescent="0.25">
      <c r="A35" s="87" t="s">
        <v>151</v>
      </c>
      <c r="B35" s="87" t="s">
        <v>152</v>
      </c>
      <c r="C35" s="117">
        <v>0.1</v>
      </c>
      <c r="D35" s="118">
        <f t="shared" si="3"/>
        <v>7500</v>
      </c>
      <c r="E35" s="36">
        <f t="shared" si="4"/>
        <v>3.3333300000000003E-2</v>
      </c>
      <c r="F35" s="118">
        <f t="shared" si="5"/>
        <v>2499.9975000000004</v>
      </c>
    </row>
    <row r="36" spans="1:6" s="87" customFormat="1" x14ac:dyDescent="0.25">
      <c r="A36" s="87" t="s">
        <v>153</v>
      </c>
      <c r="B36" s="87" t="s">
        <v>127</v>
      </c>
      <c r="C36" s="117">
        <v>2.5000000000000001E-2</v>
      </c>
      <c r="D36" s="118">
        <f t="shared" si="3"/>
        <v>1875</v>
      </c>
      <c r="E36" s="36">
        <f t="shared" si="4"/>
        <v>8.3333250000000008E-3</v>
      </c>
      <c r="F36" s="118">
        <f t="shared" si="5"/>
        <v>624.9993750000001</v>
      </c>
    </row>
    <row r="37" spans="1:6" s="87" customFormat="1" x14ac:dyDescent="0.25">
      <c r="A37" s="87" t="s">
        <v>125</v>
      </c>
      <c r="B37" s="87" t="s">
        <v>126</v>
      </c>
      <c r="C37" s="117">
        <v>2.5000000000000001E-2</v>
      </c>
      <c r="D37" s="118">
        <f t="shared" si="3"/>
        <v>1875</v>
      </c>
      <c r="E37" s="36">
        <f t="shared" ref="E37:E40" si="6">C37*33.3333%</f>
        <v>8.3333250000000008E-3</v>
      </c>
      <c r="F37" s="118">
        <f t="shared" si="5"/>
        <v>624.9993750000001</v>
      </c>
    </row>
    <row r="38" spans="1:6" s="87" customFormat="1" x14ac:dyDescent="0.25">
      <c r="A38" s="87" t="s">
        <v>115</v>
      </c>
      <c r="C38" s="117">
        <v>0.05</v>
      </c>
      <c r="D38" s="118">
        <f t="shared" si="3"/>
        <v>3750</v>
      </c>
      <c r="E38" s="36">
        <f t="shared" si="6"/>
        <v>1.6666650000000002E-2</v>
      </c>
      <c r="F38" s="118">
        <f t="shared" si="5"/>
        <v>1249.9987500000002</v>
      </c>
    </row>
    <row r="39" spans="1:6" s="87" customFormat="1" x14ac:dyDescent="0.25">
      <c r="A39" s="87" t="s">
        <v>134</v>
      </c>
      <c r="B39" s="87" t="s">
        <v>154</v>
      </c>
      <c r="C39" s="117">
        <v>0.05</v>
      </c>
      <c r="D39" s="118">
        <f t="shared" si="3"/>
        <v>3750</v>
      </c>
      <c r="E39" s="36">
        <f t="shared" si="6"/>
        <v>1.6666650000000002E-2</v>
      </c>
      <c r="F39" s="118">
        <f t="shared" si="5"/>
        <v>1249.9987500000002</v>
      </c>
    </row>
    <row r="40" spans="1:6" s="87" customFormat="1" x14ac:dyDescent="0.25">
      <c r="A40" s="87" t="s">
        <v>116</v>
      </c>
      <c r="B40" s="87" t="s">
        <v>155</v>
      </c>
      <c r="C40" s="117">
        <v>0.15</v>
      </c>
      <c r="D40" s="118">
        <f t="shared" si="3"/>
        <v>11250</v>
      </c>
      <c r="E40" s="36">
        <f t="shared" si="6"/>
        <v>4.9999949999999994E-2</v>
      </c>
      <c r="F40" s="118">
        <f t="shared" si="5"/>
        <v>3749.9962499999997</v>
      </c>
    </row>
    <row r="41" spans="1:6" s="87" customFormat="1" x14ac:dyDescent="0.25">
      <c r="A41" s="47"/>
      <c r="B41" s="47"/>
      <c r="C41" s="121">
        <f>SUM(C29:C40)</f>
        <v>1</v>
      </c>
      <c r="D41" s="122">
        <f>SUM(D29:D40)</f>
        <v>75000</v>
      </c>
      <c r="E41" s="121">
        <f>SUM(E29:E36)</f>
        <v>0.24166642500000005</v>
      </c>
      <c r="F41" s="122">
        <f>SUM(F29:F40)</f>
        <v>24999.975000000002</v>
      </c>
    </row>
    <row r="43" spans="1:6" x14ac:dyDescent="0.25">
      <c r="A43" t="s">
        <v>139</v>
      </c>
      <c r="B43" t="s">
        <v>140</v>
      </c>
    </row>
    <row r="44" spans="1:6" x14ac:dyDescent="0.25">
      <c r="A44" t="s">
        <v>141</v>
      </c>
      <c r="B44" t="s">
        <v>142</v>
      </c>
    </row>
    <row r="45" spans="1:6" x14ac:dyDescent="0.25">
      <c r="A45" t="s">
        <v>143</v>
      </c>
      <c r="B45" t="s">
        <v>144</v>
      </c>
    </row>
    <row r="46" spans="1:6" x14ac:dyDescent="0.25">
      <c r="A46" t="s">
        <v>105</v>
      </c>
      <c r="B46" t="s">
        <v>145</v>
      </c>
    </row>
    <row r="47" spans="1:6" x14ac:dyDescent="0.25">
      <c r="A47" t="s">
        <v>146</v>
      </c>
      <c r="B47" t="s">
        <v>127</v>
      </c>
    </row>
    <row r="48" spans="1:6" x14ac:dyDescent="0.25">
      <c r="A48" t="s">
        <v>148</v>
      </c>
      <c r="B48" t="s">
        <v>147</v>
      </c>
    </row>
    <row r="49" spans="1:2" x14ac:dyDescent="0.25">
      <c r="A49" t="s">
        <v>125</v>
      </c>
      <c r="B49" t="s">
        <v>126</v>
      </c>
    </row>
    <row r="50" spans="1:2" x14ac:dyDescent="0.25">
      <c r="A50" t="s">
        <v>150</v>
      </c>
      <c r="B50" t="s">
        <v>149</v>
      </c>
    </row>
  </sheetData>
  <mergeCells count="1">
    <mergeCell ref="A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4</vt:i4>
      </vt:variant>
    </vt:vector>
  </HeadingPairs>
  <TitlesOfParts>
    <vt:vector size="10" baseType="lpstr">
      <vt:lpstr>Retirement</vt:lpstr>
      <vt:lpstr>Help</vt:lpstr>
      <vt:lpstr>©</vt:lpstr>
      <vt:lpstr>Retirement Plan</vt:lpstr>
      <vt:lpstr>Net-worth Allocation</vt:lpstr>
      <vt:lpstr>Equity Portfolio</vt:lpstr>
      <vt:lpstr>Retirement!Print_Area</vt:lpstr>
      <vt:lpstr>'Retirement Plan'!Print_Area</vt:lpstr>
      <vt:lpstr>Retirement!Print_Titles</vt:lpstr>
      <vt:lpstr>'Retirement Plan'!Print_Titles</vt:lpstr>
    </vt:vector>
  </TitlesOfParts>
  <Company>Vertex42 LLC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Retirement Calculator</dc:title>
  <dc:creator>Vertex42.com</dc:creator>
  <dc:description>(c) 2015-2020 Vertex42 LLC. All Rights Reserved.</dc:description>
  <cp:lastModifiedBy>Osama Safwat</cp:lastModifiedBy>
  <cp:lastPrinted>2016-07-20T20:58:37Z</cp:lastPrinted>
  <dcterms:created xsi:type="dcterms:W3CDTF">2005-04-02T20:59:36Z</dcterms:created>
  <dcterms:modified xsi:type="dcterms:W3CDTF">2024-12-27T01:53:42Z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2015-2020 Vertex42 LLC</vt:lpwstr>
  </property>
  <property fmtid="{D5CDD505-2E9C-101B-9397-08002B2CF9AE}" pid="3" name="Version">
    <vt:lpwstr>1.1.1</vt:lpwstr>
  </property>
  <property fmtid="{D5CDD505-2E9C-101B-9397-08002B2CF9AE}" pid="4" name="Source">
    <vt:lpwstr>https://www.vertex42.com/Calculators/retirement-calculator.html</vt:lpwstr>
  </property>
</Properties>
</file>